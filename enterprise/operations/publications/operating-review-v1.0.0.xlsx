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791455a4d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45f7d02dc914767"/>
    <x:sheet xmlns:r="http://schemas.openxmlformats.org/officeDocument/2006/relationships" name="Cash obligations" sheetId="2" r:id="R8e19963945ec424d"/>
    <x:sheet xmlns:r="http://schemas.openxmlformats.org/officeDocument/2006/relationships" name="Control reviews" sheetId="3" r:id="R31bb912ce58b4ef8"/>
    <x:sheet xmlns:r="http://schemas.openxmlformats.org/officeDocument/2006/relationships" name="Customer ARR" sheetId="4" r:id="R1939cf670f1b460a"/>
    <x:sheet xmlns:r="http://schemas.openxmlformats.org/officeDocument/2006/relationships" name="Financial source" sheetId="5" r:id="R8cbf78d9ecf5447d"/>
    <x:sheet xmlns:r="http://schemas.openxmlformats.org/officeDocument/2006/relationships" name="Forecast review" sheetId="6" r:id="R07dbbaca7d99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;(#,##0);&quot;-&quot;"/>
    <x:numFmt numFmtId="202" formatCode="0.00;(0.00);0.00"/>
  </x:numFmts>
  <x:fonts count="8">
    <x:font>
      <x:sz val="11"/>
      <x:name val="Carlito"/>
    </x:font>
    <x:font>
      <x:sz val="10"/>
      <x:color rgb="FF18242E"/>
      <x:name val="Arial"/>
    </x:font>
    <x:font>
      <x:b/>
      <x:sz val="15"/>
      <x:color rgb="FF173A53"/>
      <x:name val="Arial"/>
    </x:font>
    <x:font>
      <x:i/>
      <x:sz val="10"/>
      <x:color rgb="FF52606B"/>
      <x:name val="Arial"/>
    </x:font>
    <x:font>
      <x:sz val="9"/>
      <x:color rgb="FF52606B"/>
      <x:name val="Arial"/>
    </x:font>
    <x:font>
      <x:b/>
      <x:sz val="10"/>
      <x:color rgb="FFFFFFFF"/>
      <x:name val="Arial"/>
    </x:font>
    <x:font>
      <x:b/>
      <x:sz val="16"/>
      <x:color rgb="FF173A53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A53"/>
      </x:patternFill>
    </x:fill>
    <x:fill>
      <x:patternFill patternType="solid">
        <x:fgColor rgb="FFFFF0D1"/>
      </x:patternFill>
    </x:fill>
  </x:fills>
  <x:borders count="3">
    <x:border/>
    <x:border>
      <x:bottom style="thin">
        <x:color rgb="FF173A53"/>
      </x:bottom>
    </x:border>
    <x:border>
      <x:top style="thin">
        <x:color rgb="FFD2DBE1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201" fontId="1" fillId="0" borderId="2" xfId="0" applyNumberFormat="1" applyFont="1" applyFill="1" applyBorder="1"/>
  </x:cellXfs>
  <x:cellStyles count="1">
    <x:cellStyle name="Normal" xfId="0"/>
  </x:cellStyles>
  <x:dxfs count="5">
    <x:dxf>
      <x:font>
        <x:b/>
        <x:color rgb="FFA32020"/>
      </x:font>
      <x:fill>
        <x:patternFill patternType="solid">
          <x:bgColor rgb="FFFCE4E4"/>
        </x:patternFill>
      </x:fill>
    </x:dxf>
    <x:dxf>
      <x:font>
        <x:b/>
        <x:color rgb="FFA32020"/>
      </x:font>
      <x:fill>
        <x:patternFill patternType="solid">
          <x:bgColor rgb="FFFCE4E4"/>
        </x:patternFill>
      </x:fill>
    </x:dxf>
    <x:dxf>
      <x:font>
        <x:color rgb="FF8A4B00"/>
      </x:font>
      <x:fill>
        <x:patternFill patternType="solid">
          <x:bgColor rgb="FFFFF0D1"/>
        </x:patternFill>
      </x:fill>
    </x:dxf>
    <x:dxf>
      <x:font>
        <x:b/>
        <x:color rgb="FFA32020"/>
      </x:font>
      <x:fill>
        <x:patternFill patternType="solid">
          <x:bgColor rgb="FFFCE4E4"/>
        </x:patternFill>
      </x:fill>
    </x:dxf>
    <x:dxf>
      <x:font>
        <x:b/>
        <x:color rgb="FFA32020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f6543f7a44f41" /><Relationship Type="http://schemas.openxmlformats.org/officeDocument/2006/relationships/theme" Target="/xl/theme/theme1.xml" Id="Raf17ff778671455c" /><Relationship Type="http://schemas.openxmlformats.org/officeDocument/2006/relationships/sharedStrings" Target="/xl/sharedStrings.xml" Id="Ra1791488b62b4a53" /><Relationship Type="http://schemas.openxmlformats.org/officeDocument/2006/relationships/worksheet" Target="/xl/worksheets/sheet1.xml" Id="R245f7d02dc914767" /><Relationship Type="http://schemas.openxmlformats.org/officeDocument/2006/relationships/worksheet" Target="/xl/worksheets/sheet2.xml" Id="R8e19963945ec424d" /><Relationship Type="http://schemas.openxmlformats.org/officeDocument/2006/relationships/worksheet" Target="/xl/worksheets/sheet3.xml" Id="R31bb912ce58b4ef8" /><Relationship Type="http://schemas.openxmlformats.org/officeDocument/2006/relationships/worksheet" Target="/xl/worksheets/sheet4.xml" Id="R1939cf670f1b460a" /><Relationship Type="http://schemas.openxmlformats.org/officeDocument/2006/relationships/worksheet" Target="/xl/worksheets/sheet5.xml" Id="R8cbf78d9ecf5447d" /><Relationship Type="http://schemas.openxmlformats.org/officeDocument/2006/relationships/worksheet" Target="/xl/worksheets/sheet6.xml" Id="R07dbbaca7d994a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A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1"/>
      <x:c r="C2" s="16" t="str">
        <x:v>Sable Harbor operating review</x:v>
      </x:c>
      <x:c r="D2" s="4"/>
      <x:c r="E2" s="4"/>
      <x:c r="F2" s="4"/>
      <x:c r="G2" s="4"/>
      <x:c r="H2" s="4"/>
    </x:row>
    <x:row r="3" ht="22" customHeight="1">
      <x:c r="A3" s="1"/>
      <x:c r="B3" s="1"/>
      <x:c r="C3" s="1" t="str">
        <x:v>Report year</x:v>
      </x:c>
      <x:c r="D3" s="19" t="n">
        <x:v>2027</x:v>
      </x:c>
      <x:c r="E3" s="1"/>
      <x:c r="F3" s="1"/>
      <x:c r="G3" s="1"/>
      <x:c r="H3" s="1"/>
    </x:row>
    <x:row r="4" ht="22" customHeight="1">
      <x:c r="A4" s="1"/>
      <x:c r="B4" s="1"/>
      <x:c r="C4" s="5" t="str">
        <x:v>Synthetic scenarios, USD. Unit cash allocations are not bank balances. Change year to select results.</x:v>
      </x:c>
      <x:c r="D4" s="1"/>
      <x:c r="E4" s="1"/>
      <x:c r="F4" s="1"/>
      <x:c r="G4" s="1"/>
      <x:c r="H4" s="1"/>
    </x:row>
    <x:row r="5" ht="28" customHeight="1">
      <x:c r="A5" s="1"/>
      <x:c r="B5" s="1"/>
      <x:c r="C5" s="20" t="str">
        <x:v>Business</x:v>
      </x:c>
      <x:c r="D5" s="20" t="str">
        <x:v>Scenario</x:v>
      </x:c>
      <x:c r="E5" s="20" t="str">
        <x:v>Revenue</x:v>
      </x:c>
      <x:c r="F5" s="20" t="str">
        <x:v>Expenses</x:v>
      </x:c>
      <x:c r="G5" s="20" t="str">
        <x:v>Net income</x:v>
      </x:c>
      <x:c r="H5" s="20" t="str">
        <x:v>Ending cash</x:v>
      </x:c>
    </x:row>
    <x:row r="6" ht="22" customHeight="1">
      <x:c r="A6" s="1"/>
      <x:c r="B6" s="1"/>
      <x:c r="C6" s="21" t="str">
        <x:v>advisory</x:v>
      </x:c>
      <x:c r="D6" s="21" t="str">
        <x:v>base</x:v>
      </x:c>
      <x:c r="E6" s="22" t="n">
        <x:f>SUMIFS('Financial source'!$D$6:$D$167,'Financial source'!$A$6:$A$167,$C6,'Financial source'!$B$6:$B$167,$D6,'Financial source'!$C$6:$C$167,$D$3)</x:f>
        <x:v>10030080</x:v>
      </x:c>
      <x:c r="F6" s="22" t="n">
        <x:f>SUMIFS('Financial source'!$E$6:$E$167,'Financial source'!$A$6:$A$167,$C6,'Financial source'!$B$6:$B$167,$D6,'Financial source'!$C$6:$C$167,$D$3)</x:f>
        <x:v>5256712.8128</x:v>
      </x:c>
      <x:c r="G6" s="22" t="n">
        <x:f>SUMIFS('Financial source'!$F$6:$F$167,'Financial source'!$A$6:$A$167,$C6,'Financial source'!$B$6:$B$167,$D6,'Financial source'!$C$6:$C$167,$D$3)</x:f>
        <x:v>4773367.1872</x:v>
      </x:c>
      <x:c r="H6" s="22" t="n">
        <x:f>SUMIFS('Financial source'!$J$6:$J$167,'Financial source'!$A$6:$A$167,$C6,'Financial source'!$B$6:$B$167,$D6,'Financial source'!$C$6:$C$167,$D$3)</x:f>
        <x:v>5447219.9872</x:v>
      </x:c>
    </x:row>
    <x:row r="7" ht="22" customHeight="1">
      <x:c r="A7" s="1"/>
      <x:c r="B7" s="1"/>
      <x:c r="C7" s="1" t="str">
        <x:v>advisory</x:v>
      </x:c>
      <x:c r="D7" s="1" t="str">
        <x:v>downside</x:v>
      </x:c>
      <x:c r="E7" s="13" t="n">
        <x:f>SUMIFS('Financial source'!$D$6:$D$167,'Financial source'!$A$6:$A$167,$C7,'Financial source'!$B$6:$B$167,$D7,'Financial source'!$C$6:$C$167,$D$3)</x:f>
        <x:v>5773680</x:v>
      </x:c>
      <x:c r="F7" s="13" t="n">
        <x:f>SUMIFS('Financial source'!$E$6:$E$167,'Financial source'!$A$6:$A$167,$C7,'Financial source'!$B$6:$B$167,$D7,'Financial source'!$C$6:$C$167,$D$3)</x:f>
        <x:v>6067979.0528</x:v>
      </x:c>
      <x:c r="G7" s="13" t="n">
        <x:f>SUMIFS('Financial source'!$F$6:$F$167,'Financial source'!$A$6:$A$167,$C7,'Financial source'!$B$6:$B$167,$D7,'Financial source'!$C$6:$C$167,$D$3)</x:f>
        <x:v>-294299.0528</x:v>
      </x:c>
      <x:c r="H7" s="13" t="n">
        <x:f>SUMIFS('Financial source'!$J$6:$J$167,'Financial source'!$A$6:$A$167,$C7,'Financial source'!$B$6:$B$167,$D7,'Financial source'!$C$6:$C$167,$D$3)</x:f>
        <x:v>1115429.2672</x:v>
      </x:c>
    </x:row>
    <x:row r="8" ht="22" customHeight="1">
      <x:c r="A8" s="1"/>
      <x:c r="B8" s="1"/>
      <x:c r="C8" s="1" t="str">
        <x:v>advisory</x:v>
      </x:c>
      <x:c r="D8" s="1" t="str">
        <x:v>expansion</x:v>
      </x:c>
      <x:c r="E8" s="13" t="n">
        <x:f>SUMIFS('Financial source'!$D$6:$D$167,'Financial source'!$A$6:$A$167,$C8,'Financial source'!$B$6:$B$167,$D8,'Financial source'!$C$6:$C$167,$D$3)</x:f>
        <x:v>10982400</x:v>
      </x:c>
      <x:c r="F8" s="13" t="n">
        <x:f>SUMIFS('Financial source'!$E$6:$E$167,'Financial source'!$A$6:$A$167,$C8,'Financial source'!$B$6:$B$167,$D8,'Financial source'!$C$6:$C$167,$D$3)</x:f>
        <x:v>5495001.3952</x:v>
      </x:c>
      <x:c r="G8" s="13" t="n">
        <x:f>SUMIFS('Financial source'!$F$6:$F$167,'Financial source'!$A$6:$A$167,$C8,'Financial source'!$B$6:$B$167,$D8,'Financial source'!$C$6:$C$167,$D$3)</x:f>
        <x:v>5487398.6048</x:v>
      </x:c>
      <x:c r="H8" s="13" t="n">
        <x:f>SUMIFS('Financial source'!$J$6:$J$167,'Financial source'!$A$6:$A$167,$C8,'Financial source'!$B$6:$B$167,$D8,'Financial source'!$C$6:$C$167,$D$3)</x:f>
        <x:v>6097001.6768</x:v>
      </x:c>
    </x:row>
    <x:row r="9" ht="22" customHeight="1">
      <x:c r="A9" s="1"/>
      <x:c r="B9" s="1"/>
      <x:c r="C9" s="21" t="str">
        <x:v>american-resource-utility</x:v>
      </x:c>
      <x:c r="D9" s="21" t="str">
        <x:v>base</x:v>
      </x:c>
      <x:c r="E9" s="22" t="n">
        <x:f>SUMIFS('Financial source'!$D$6:$D$167,'Financial source'!$A$6:$A$167,$C9,'Financial source'!$B$6:$B$167,$D9,'Financial source'!$C$6:$C$167,$D$3)</x:f>
        <x:v>44922236</x:v>
      </x:c>
      <x:c r="F9" s="22" t="n">
        <x:f>SUMIFS('Financial source'!$E$6:$E$167,'Financial source'!$A$6:$A$167,$C9,'Financial source'!$B$6:$B$167,$D9,'Financial source'!$C$6:$C$167,$D$3)</x:f>
        <x:v>41999617</x:v>
      </x:c>
      <x:c r="G9" s="22" t="n">
        <x:f>SUMIFS('Financial source'!$F$6:$F$167,'Financial source'!$A$6:$A$167,$C9,'Financial source'!$B$6:$B$167,$D9,'Financial source'!$C$6:$C$167,$D$3)</x:f>
        <x:v>2922619</x:v>
      </x:c>
      <x:c r="H9" s="22" t="n">
        <x:f>SUMIFS('Financial source'!$J$6:$J$167,'Financial source'!$A$6:$A$167,$C9,'Financial source'!$B$6:$B$167,$D9,'Financial source'!$C$6:$C$167,$D$3)</x:f>
        <x:v>4124851</x:v>
      </x:c>
    </x:row>
    <x:row r="10" ht="22" customHeight="1">
      <x:c r="A10" s="1"/>
      <x:c r="B10" s="1"/>
      <x:c r="C10" s="1" t="str">
        <x:v>american-resource-utility</x:v>
      </x:c>
      <x:c r="D10" s="1" t="str">
        <x:v>downside</x:v>
      </x:c>
      <x:c r="E10" s="13" t="n">
        <x:f>SUMIFS('Financial source'!$D$6:$D$167,'Financial source'!$A$6:$A$167,$C10,'Financial source'!$B$6:$B$167,$D10,'Financial source'!$C$6:$C$167,$D$3)</x:f>
        <x:v>43495535</x:v>
      </x:c>
      <x:c r="F10" s="13" t="n">
        <x:f>SUMIFS('Financial source'!$E$6:$E$167,'Financial source'!$A$6:$A$167,$C10,'Financial source'!$B$6:$B$167,$D10,'Financial source'!$C$6:$C$167,$D$3)</x:f>
        <x:v>42438847</x:v>
      </x:c>
      <x:c r="G10" s="13" t="n">
        <x:f>SUMIFS('Financial source'!$F$6:$F$167,'Financial source'!$A$6:$A$167,$C10,'Financial source'!$B$6:$B$167,$D10,'Financial source'!$C$6:$C$167,$D$3)</x:f>
        <x:v>1056688</x:v>
      </x:c>
      <x:c r="H10" s="13" t="n">
        <x:f>SUMIFS('Financial source'!$J$6:$J$167,'Financial source'!$A$6:$A$167,$C10,'Financial source'!$B$6:$B$167,$D10,'Financial source'!$C$6:$C$167,$D$3)</x:f>
        <x:v>3751200</x:v>
      </x:c>
    </x:row>
    <x:row r="11" ht="22" customHeight="1">
      <x:c r="A11" s="1"/>
      <x:c r="B11" s="1"/>
      <x:c r="C11" s="1" t="str">
        <x:v>american-resource-utility</x:v>
      </x:c>
      <x:c r="D11" s="1" t="str">
        <x:v>expansion</x:v>
      </x:c>
      <x:c r="E11" s="13" t="n">
        <x:f>SUMIFS('Financial source'!$D$6:$D$167,'Financial source'!$A$6:$A$167,$C11,'Financial source'!$B$6:$B$167,$D11,'Financial source'!$C$6:$C$167,$D$3)</x:f>
        <x:v>47494086</x:v>
      </x:c>
      <x:c r="F11" s="13" t="n">
        <x:f>SUMIFS('Financial source'!$E$6:$E$167,'Financial source'!$A$6:$A$167,$C11,'Financial source'!$B$6:$B$167,$D11,'Financial source'!$C$6:$C$167,$D$3)</x:f>
        <x:v>42962547</x:v>
      </x:c>
      <x:c r="G11" s="13" t="n">
        <x:f>SUMIFS('Financial source'!$F$6:$F$167,'Financial source'!$A$6:$A$167,$C11,'Financial source'!$B$6:$B$167,$D11,'Financial source'!$C$6:$C$167,$D$3)</x:f>
        <x:v>4531539</x:v>
      </x:c>
      <x:c r="H11" s="13" t="n">
        <x:f>SUMIFS('Financial source'!$J$6:$J$167,'Financial source'!$A$6:$A$167,$C11,'Financial source'!$B$6:$B$167,$D11,'Financial source'!$C$6:$C$167,$D$3)</x:f>
        <x:v>1604659</x:v>
      </x:c>
    </x:row>
    <x:row r="12" ht="22" customHeight="1">
      <x:c r="A12" s="1"/>
      <x:c r="B12" s="1"/>
      <x:c r="C12" s="21" t="str">
        <x:v>atlas-meridian</x:v>
      </x:c>
      <x:c r="D12" s="21" t="str">
        <x:v>base</x:v>
      </x:c>
      <x:c r="E12" s="22" t="n">
        <x:f>SUMIFS('Financial source'!$D$6:$D$167,'Financial source'!$A$6:$A$167,$C12,'Financial source'!$B$6:$B$167,$D12,'Financial source'!$C$6:$C$167,$D$3)</x:f>
        <x:v>4337500</x:v>
      </x:c>
      <x:c r="F12" s="22" t="n">
        <x:f>SUMIFS('Financial source'!$E$6:$E$167,'Financial source'!$A$6:$A$167,$C12,'Financial source'!$B$6:$B$167,$D12,'Financial source'!$C$6:$C$167,$D$3)</x:f>
        <x:v>6668415.8188</x:v>
      </x:c>
      <x:c r="G12" s="22" t="n">
        <x:f>SUMIFS('Financial source'!$F$6:$F$167,'Financial source'!$A$6:$A$167,$C12,'Financial source'!$B$6:$B$167,$D12,'Financial source'!$C$6:$C$167,$D$3)</x:f>
        <x:v>-2330915.8188</x:v>
      </x:c>
      <x:c r="H12" s="22" t="n">
        <x:f>SUMIFS('Financial source'!$J$6:$J$167,'Financial source'!$A$6:$A$167,$C12,'Financial source'!$B$6:$B$167,$D12,'Financial source'!$C$6:$C$167,$D$3)</x:f>
        <x:v>-884536.3188</x:v>
      </x:c>
    </x:row>
    <x:row r="13" ht="22" customHeight="1">
      <x:c r="A13" s="1"/>
      <x:c r="B13" s="1"/>
      <x:c r="C13" s="1" t="str">
        <x:v>atlas-meridian</x:v>
      </x:c>
      <x:c r="D13" s="1" t="str">
        <x:v>downside</x:v>
      </x:c>
      <x:c r="E13" s="13" t="n">
        <x:f>SUMIFS('Financial source'!$D$6:$D$167,'Financial source'!$A$6:$A$167,$C13,'Financial source'!$B$6:$B$167,$D13,'Financial source'!$C$6:$C$167,$D$3)</x:f>
        <x:v>3890250</x:v>
      </x:c>
      <x:c r="F13" s="13" t="n">
        <x:f>SUMIFS('Financial source'!$E$6:$E$167,'Financial source'!$A$6:$A$167,$C13,'Financial source'!$B$6:$B$167,$D13,'Financial source'!$C$6:$C$167,$D$3)</x:f>
        <x:v>7583468.2988</x:v>
      </x:c>
      <x:c r="G13" s="13" t="n">
        <x:f>SUMIFS('Financial source'!$F$6:$F$167,'Financial source'!$A$6:$A$167,$C13,'Financial source'!$B$6:$B$167,$D13,'Financial source'!$C$6:$C$167,$D$3)</x:f>
        <x:v>-3693218.2988</x:v>
      </x:c>
      <x:c r="H13" s="13" t="n">
        <x:f>SUMIFS('Financial source'!$J$6:$J$167,'Financial source'!$A$6:$A$167,$C13,'Financial source'!$B$6:$B$167,$D13,'Financial source'!$C$6:$C$167,$D$3)</x:f>
        <x:v>-3026171.7988</x:v>
      </x:c>
    </x:row>
    <x:row r="14" ht="22" customHeight="1">
      <x:c r="A14" s="1"/>
      <x:c r="B14" s="1"/>
      <x:c r="C14" s="1" t="str">
        <x:v>atlas-meridian</x:v>
      </x:c>
      <x:c r="D14" s="1" t="str">
        <x:v>expansion</x:v>
      </x:c>
      <x:c r="E14" s="13" t="n">
        <x:f>SUMIFS('Financial source'!$D$6:$D$167,'Financial source'!$A$6:$A$167,$C14,'Financial source'!$B$6:$B$167,$D14,'Financial source'!$C$6:$C$167,$D$3)</x:f>
        <x:v>4511000</x:v>
      </x:c>
      <x:c r="F14" s="13" t="n">
        <x:f>SUMIFS('Financial source'!$E$6:$E$167,'Financial source'!$A$6:$A$167,$C14,'Financial source'!$B$6:$B$167,$D14,'Financial source'!$C$6:$C$167,$D$3)</x:f>
        <x:v>6952385.1772</x:v>
      </x:c>
      <x:c r="G14" s="13" t="n">
        <x:f>SUMIFS('Financial source'!$F$6:$F$167,'Financial source'!$A$6:$A$167,$C14,'Financial source'!$B$6:$B$167,$D14,'Financial source'!$C$6:$C$167,$D$3)</x:f>
        <x:v>-2441385.1772</x:v>
      </x:c>
      <x:c r="H14" s="13" t="n">
        <x:f>SUMIFS('Financial source'!$J$6:$J$167,'Financial source'!$A$6:$A$167,$C14,'Financial source'!$B$6:$B$167,$D14,'Financial source'!$C$6:$C$167,$D$3)</x:f>
        <x:v>-946349.6772</x:v>
      </x:c>
    </x:row>
    <x:row r="15" ht="22" customHeight="1">
      <x:c r="A15" s="1"/>
      <x:c r="B15" s="1"/>
      <x:c r="C15" s="21" t="str">
        <x:v>corporate</x:v>
      </x:c>
      <x:c r="D15" s="21" t="str">
        <x:v>base</x:v>
      </x:c>
      <x:c r="E15" s="22" t="n">
        <x:f>SUMIFS('Financial source'!$D$6:$D$167,'Financial source'!$A$6:$A$167,$C15,'Financial source'!$B$6:$B$167,$D15,'Financial source'!$C$6:$C$167,$D$3)</x:f>
        <x:v>999999.9996</x:v>
      </x:c>
      <x:c r="F15" s="22" t="n">
        <x:f>SUMIFS('Financial source'!$E$6:$E$167,'Financial source'!$A$6:$A$167,$C15,'Financial source'!$B$6:$B$167,$D15,'Financial source'!$C$6:$C$167,$D$3)</x:f>
        <x:v>39002325.9383</x:v>
      </x:c>
      <x:c r="G15" s="22" t="n">
        <x:f>SUMIFS('Financial source'!$F$6:$F$167,'Financial source'!$A$6:$A$167,$C15,'Financial source'!$B$6:$B$167,$D15,'Financial source'!$C$6:$C$167,$D$3)</x:f>
        <x:v>-38002325.9387</x:v>
      </x:c>
      <x:c r="H15" s="22" t="n">
        <x:f>SUMIFS('Financial source'!$J$6:$J$167,'Financial source'!$A$6:$A$167,$C15,'Financial source'!$B$6:$B$167,$D15,'Financial source'!$C$6:$C$167,$D$3)</x:f>
        <x:v>-19194942.7565</x:v>
      </x:c>
    </x:row>
    <x:row r="16" ht="22" customHeight="1">
      <x:c r="A16" s="1"/>
      <x:c r="B16" s="1"/>
      <x:c r="C16" s="1" t="str">
        <x:v>corporate</x:v>
      </x:c>
      <x:c r="D16" s="1" t="str">
        <x:v>downside</x:v>
      </x:c>
      <x:c r="E16" s="13" t="n">
        <x:f>SUMIFS('Financial source'!$D$6:$D$167,'Financial source'!$A$6:$A$167,$C16,'Financial source'!$B$6:$B$167,$D16,'Financial source'!$C$6:$C$167,$D$3)</x:f>
        <x:v>999999.9996</x:v>
      </x:c>
      <x:c r="F16" s="13" t="n">
        <x:f>SUMIFS('Financial source'!$E$6:$E$167,'Financial source'!$A$6:$A$167,$C16,'Financial source'!$B$6:$B$167,$D16,'Financial source'!$C$6:$C$167,$D$3)</x:f>
        <x:v>43248890.9383</x:v>
      </x:c>
      <x:c r="G16" s="13" t="n">
        <x:f>SUMIFS('Financial source'!$F$6:$F$167,'Financial source'!$A$6:$A$167,$C16,'Financial source'!$B$6:$B$167,$D16,'Financial source'!$C$6:$C$167,$D$3)</x:f>
        <x:v>-42248890.9387</x:v>
      </x:c>
      <x:c r="H16" s="13" t="n">
        <x:f>SUMIFS('Financial source'!$J$6:$J$167,'Financial source'!$A$6:$A$167,$C16,'Financial source'!$B$6:$B$167,$D16,'Financial source'!$C$6:$C$167,$D$3)</x:f>
        <x:v>1148199.7161</x:v>
      </x:c>
    </x:row>
    <x:row r="17" ht="22" customHeight="1">
      <x:c r="A17" s="1"/>
      <x:c r="B17" s="1"/>
      <x:c r="C17" s="1" t="str">
        <x:v>corporate</x:v>
      </x:c>
      <x:c r="D17" s="1" t="str">
        <x:v>expansion</x:v>
      </x:c>
      <x:c r="E17" s="13" t="n">
        <x:f>SUMIFS('Financial source'!$D$6:$D$167,'Financial source'!$A$6:$A$167,$C17,'Financial source'!$B$6:$B$167,$D17,'Financial source'!$C$6:$C$167,$D$3)</x:f>
        <x:v>999999.9996</x:v>
      </x:c>
      <x:c r="F17" s="13" t="n">
        <x:f>SUMIFS('Financial source'!$E$6:$E$167,'Financial source'!$A$6:$A$167,$C17,'Financial source'!$B$6:$B$167,$D17,'Financial source'!$C$6:$C$167,$D$3)</x:f>
        <x:v>40417847.7105</x:v>
      </x:c>
      <x:c r="G17" s="13" t="n">
        <x:f>SUMIFS('Financial source'!$F$6:$F$167,'Financial source'!$A$6:$A$167,$C17,'Financial source'!$B$6:$B$167,$D17,'Financial source'!$C$6:$C$167,$D$3)</x:f>
        <x:v>-39417847.7109</x:v>
      </x:c>
      <x:c r="H17" s="13" t="n">
        <x:f>SUMIFS('Financial source'!$J$6:$J$167,'Financial source'!$A$6:$A$167,$C17,'Financial source'!$B$6:$B$167,$D17,'Financial source'!$C$6:$C$167,$D$3)</x:f>
        <x:v>-20540421.8435</x:v>
      </x:c>
    </x:row>
    <x:row r="18" ht="22" customHeight="1">
      <x:c r="A18" s="1"/>
      <x:c r="B18" s="1"/>
      <x:c r="C18" s="21" t="str">
        <x:v>eliminations</x:v>
      </x:c>
      <x:c r="D18" s="21" t="str">
        <x:v>base</x:v>
      </x:c>
      <x:c r="E18" s="22" t="n">
        <x:f>SUMIFS('Financial source'!$D$6:$D$167,'Financial source'!$A$6:$A$167,$C18,'Financial source'!$B$6:$B$167,$D18,'Financial source'!$C$6:$C$167,$D$3)</x:f>
        <x:v>-3034293.8567</x:v>
      </x:c>
      <x:c r="F18" s="22" t="n">
        <x:f>SUMIFS('Financial source'!$E$6:$E$167,'Financial source'!$A$6:$A$167,$C18,'Financial source'!$B$6:$B$167,$D18,'Financial source'!$C$6:$C$167,$D$3)</x:f>
        <x:v>-3034293.8567</x:v>
      </x:c>
      <x:c r="G18" s="22" t="n">
        <x:f>SUMIFS('Financial source'!$F$6:$F$167,'Financial source'!$A$6:$A$167,$C18,'Financial source'!$B$6:$B$167,$D18,'Financial source'!$C$6:$C$167,$D$3)</x:f>
        <x:v>0</x:v>
      </x:c>
      <x:c r="H18" s="22" t="n">
        <x:f>SUMIFS('Financial source'!$J$6:$J$167,'Financial source'!$A$6:$A$167,$C18,'Financial source'!$B$6:$B$167,$D18,'Financial source'!$C$6:$C$167,$D$3)</x:f>
        <x:v>0</x:v>
      </x:c>
    </x:row>
    <x:row r="19" ht="22" customHeight="1">
      <x:c r="A19" s="1"/>
      <x:c r="B19" s="1"/>
      <x:c r="C19" s="1" t="str">
        <x:v>eliminations</x:v>
      </x:c>
      <x:c r="D19" s="1" t="str">
        <x:v>downside</x:v>
      </x:c>
      <x:c r="E19" s="13" t="n">
        <x:f>SUMIFS('Financial source'!$D$6:$D$167,'Financial source'!$A$6:$A$167,$C19,'Financial source'!$B$6:$B$167,$D19,'Financial source'!$C$6:$C$167,$D$3)</x:f>
        <x:v>-2892059.8567</x:v>
      </x:c>
      <x:c r="F19" s="13" t="n">
        <x:f>SUMIFS('Financial source'!$E$6:$E$167,'Financial source'!$A$6:$A$167,$C19,'Financial source'!$B$6:$B$167,$D19,'Financial source'!$C$6:$C$167,$D$3)</x:f>
        <x:v>-2892059.8567</x:v>
      </x:c>
      <x:c r="G19" s="13" t="n">
        <x:f>SUMIFS('Financial source'!$F$6:$F$167,'Financial source'!$A$6:$A$167,$C19,'Financial source'!$B$6:$B$167,$D19,'Financial source'!$C$6:$C$167,$D$3)</x:f>
        <x:v>0</x:v>
      </x:c>
      <x:c r="H19" s="13" t="n">
        <x:f>SUMIFS('Financial source'!$J$6:$J$167,'Financial source'!$A$6:$A$167,$C19,'Financial source'!$B$6:$B$167,$D19,'Financial source'!$C$6:$C$167,$D$3)</x:f>
        <x:v>0</x:v>
      </x:c>
    </x:row>
    <x:row r="20" ht="22" customHeight="1">
      <x:c r="A20" s="1"/>
      <x:c r="B20" s="1"/>
      <x:c r="C20" s="1" t="str">
        <x:v>eliminations</x:v>
      </x:c>
      <x:c r="D20" s="1" t="str">
        <x:v>expansion</x:v>
      </x:c>
      <x:c r="E20" s="13" t="n">
        <x:f>SUMIFS('Financial source'!$D$6:$D$167,'Financial source'!$A$6:$A$167,$C20,'Financial source'!$B$6:$B$167,$D20,'Financial source'!$C$6:$C$167,$D$3)</x:f>
        <x:v>-2875071.8567</x:v>
      </x:c>
      <x:c r="F20" s="13" t="n">
        <x:f>SUMIFS('Financial source'!$E$6:$E$167,'Financial source'!$A$6:$A$167,$C20,'Financial source'!$B$6:$B$167,$D20,'Financial source'!$C$6:$C$167,$D$3)</x:f>
        <x:v>-2875071.8567</x:v>
      </x:c>
      <x:c r="G20" s="13" t="n">
        <x:f>SUMIFS('Financial source'!$F$6:$F$167,'Financial source'!$A$6:$A$167,$C20,'Financial source'!$B$6:$B$167,$D20,'Financial source'!$C$6:$C$167,$D$3)</x:f>
        <x:v>0</x:v>
      </x:c>
      <x:c r="H20" s="13" t="n">
        <x:f>SUMIFS('Financial source'!$J$6:$J$167,'Financial source'!$A$6:$A$167,$C20,'Financial source'!$B$6:$B$167,$D20,'Financial source'!$C$6:$C$167,$D$3)</x:f>
        <x:v>0</x:v>
      </x:c>
    </x:row>
    <x:row r="21" ht="22" customHeight="1">
      <x:c r="A21" s="1"/>
      <x:c r="B21" s="1"/>
      <x:c r="C21" s="21" t="str">
        <x:v>foundry-field</x:v>
      </x:c>
      <x:c r="D21" s="21" t="str">
        <x:v>base</x:v>
      </x:c>
      <x:c r="E21" s="22" t="n">
        <x:f>SUMIFS('Financial source'!$D$6:$D$167,'Financial source'!$A$6:$A$167,$C21,'Financial source'!$B$6:$B$167,$D21,'Financial source'!$C$6:$C$167,$D$3)</x:f>
        <x:v>57725500</x:v>
      </x:c>
      <x:c r="F21" s="22" t="n">
        <x:f>SUMIFS('Financial source'!$E$6:$E$167,'Financial source'!$A$6:$A$167,$C21,'Financial source'!$B$6:$B$167,$D21,'Financial source'!$C$6:$C$167,$D$3)</x:f>
        <x:v>25473916.6025</x:v>
      </x:c>
      <x:c r="G21" s="22" t="n">
        <x:f>SUMIFS('Financial source'!$F$6:$F$167,'Financial source'!$A$6:$A$167,$C21,'Financial source'!$B$6:$B$167,$D21,'Financial source'!$C$6:$C$167,$D$3)</x:f>
        <x:v>32251583.3975</x:v>
      </x:c>
      <x:c r="H21" s="22" t="n">
        <x:f>SUMIFS('Financial source'!$J$6:$J$167,'Financial source'!$A$6:$A$167,$C21,'Financial source'!$B$6:$B$167,$D21,'Financial source'!$C$6:$C$167,$D$3)</x:f>
        <x:v>26498705.0308</x:v>
      </x:c>
    </x:row>
    <x:row r="22" ht="22" customHeight="1">
      <x:c r="A22" s="1"/>
      <x:c r="B22" s="1"/>
      <x:c r="C22" s="1" t="str">
        <x:v>foundry-field</x:v>
      </x:c>
      <x:c r="D22" s="1" t="str">
        <x:v>downside</x:v>
      </x:c>
      <x:c r="E22" s="13" t="n">
        <x:f>SUMIFS('Financial source'!$D$6:$D$167,'Financial source'!$A$6:$A$167,$C22,'Financial source'!$B$6:$B$167,$D22,'Financial source'!$C$6:$C$167,$D$3)</x:f>
        <x:v>50561550</x:v>
      </x:c>
      <x:c r="F22" s="13" t="n">
        <x:f>SUMIFS('Financial source'!$E$6:$E$167,'Financial source'!$A$6:$A$167,$C22,'Financial source'!$B$6:$B$167,$D22,'Financial source'!$C$6:$C$167,$D$3)</x:f>
        <x:v>28343840.6025</x:v>
      </x:c>
      <x:c r="G22" s="13" t="n">
        <x:f>SUMIFS('Financial source'!$F$6:$F$167,'Financial source'!$A$6:$A$167,$C22,'Financial source'!$B$6:$B$167,$D22,'Financial source'!$C$6:$C$167,$D$3)</x:f>
        <x:v>22217709.3975</x:v>
      </x:c>
      <x:c r="H22" s="13" t="n">
        <x:f>SUMIFS('Financial source'!$J$6:$J$167,'Financial source'!$A$6:$A$167,$C22,'Financial source'!$B$6:$B$167,$D22,'Financial source'!$C$6:$C$167,$D$3)</x:f>
        <x:v>11487167.0308</x:v>
      </x:c>
    </x:row>
    <x:row r="23" ht="22" customHeight="1">
      <x:c r="A23" s="1"/>
      <x:c r="B23" s="1"/>
      <x:c r="C23" s="1" t="str">
        <x:v>foundry-field</x:v>
      </x:c>
      <x:c r="D23" s="1" t="str">
        <x:v>expansion</x:v>
      </x:c>
      <x:c r="E23" s="13" t="n">
        <x:f>SUMIFS('Financial source'!$D$6:$D$167,'Financial source'!$A$6:$A$167,$C23,'Financial source'!$B$6:$B$167,$D23,'Financial source'!$C$6:$C$167,$D$3)</x:f>
        <x:v>61098440</x:v>
      </x:c>
      <x:c r="F23" s="13" t="n">
        <x:f>SUMIFS('Financial source'!$E$6:$E$167,'Financial source'!$A$6:$A$167,$C23,'Financial source'!$B$6:$B$167,$D23,'Financial source'!$C$6:$C$167,$D$3)</x:f>
        <x:v>26510969.3975</x:v>
      </x:c>
      <x:c r="G23" s="13" t="n">
        <x:f>SUMIFS('Financial source'!$F$6:$F$167,'Financial source'!$A$6:$A$167,$C23,'Financial source'!$B$6:$B$167,$D23,'Financial source'!$C$6:$C$167,$D$3)</x:f>
        <x:v>34587470.6025</x:v>
      </x:c>
      <x:c r="H23" s="13" t="n">
        <x:f>SUMIFS('Financial source'!$J$6:$J$167,'Financial source'!$A$6:$A$167,$C23,'Financial source'!$B$6:$B$167,$D23,'Financial source'!$C$6:$C$167,$D$3)</x:f>
        <x:v>29985960.2358</x:v>
      </x:c>
    </x:row>
    <x:row r="24" ht="22" customHeight="1">
      <x:c r="A24" s="1"/>
      <x:c r="B24" s="1"/>
      <x:c r="C24" s="21" t="str">
        <x:v>pale-sun</x:v>
      </x:c>
      <x:c r="D24" s="21" t="str">
        <x:v>base</x:v>
      </x:c>
      <x:c r="E24" s="22" t="n">
        <x:f>SUMIFS('Financial source'!$D$6:$D$167,'Financial source'!$A$6:$A$167,$C24,'Financial source'!$B$6:$B$167,$D24,'Financial source'!$C$6:$C$167,$D$3)</x:f>
        <x:v>43958127.8571</x:v>
      </x:c>
      <x:c r="F24" s="22" t="n">
        <x:f>SUMIFS('Financial source'!$E$6:$E$167,'Financial source'!$A$6:$A$167,$C24,'Financial source'!$B$6:$B$167,$D24,'Financial source'!$C$6:$C$167,$D$3)</x:f>
        <x:v>43823154.8567</x:v>
      </x:c>
      <x:c r="G24" s="22" t="n">
        <x:f>SUMIFS('Financial source'!$F$6:$F$167,'Financial source'!$A$6:$A$167,$C24,'Financial source'!$B$6:$B$167,$D24,'Financial source'!$C$6:$C$167,$D$3)</x:f>
        <x:v>134973.0004</x:v>
      </x:c>
      <x:c r="H24" s="22" t="n">
        <x:f>SUMIFS('Financial source'!$J$6:$J$167,'Financial source'!$A$6:$A$167,$C24,'Financial source'!$B$6:$B$167,$D24,'Financial source'!$C$6:$C$167,$D$3)</x:f>
        <x:v>2314804</x:v>
      </x:c>
    </x:row>
    <x:row r="25" ht="22" customHeight="1">
      <x:c r="A25" s="1"/>
      <x:c r="B25" s="1"/>
      <x:c r="C25" s="1" t="str">
        <x:v>pale-sun</x:v>
      </x:c>
      <x:c r="D25" s="1" t="str">
        <x:v>downside</x:v>
      </x:c>
      <x:c r="E25" s="13" t="n">
        <x:f>SUMIFS('Financial source'!$D$6:$D$167,'Financial source'!$A$6:$A$167,$C25,'Financial source'!$B$6:$B$167,$D25,'Financial source'!$C$6:$C$167,$D$3)</x:f>
        <x:v>35475497.8571</x:v>
      </x:c>
      <x:c r="F25" s="13" t="n">
        <x:f>SUMIFS('Financial source'!$E$6:$E$167,'Financial source'!$A$6:$A$167,$C25,'Financial source'!$B$6:$B$167,$D25,'Financial source'!$C$6:$C$167,$D$3)</x:f>
        <x:v>43986269.8567</x:v>
      </x:c>
      <x:c r="G25" s="13" t="n">
        <x:f>SUMIFS('Financial source'!$F$6:$F$167,'Financial source'!$A$6:$A$167,$C25,'Financial source'!$B$6:$B$167,$D25,'Financial source'!$C$6:$C$167,$D$3)</x:f>
        <x:v>-8510771.9996</x:v>
      </x:c>
      <x:c r="H25" s="13" t="n">
        <x:f>SUMIFS('Financial source'!$J$6:$J$167,'Financial source'!$A$6:$A$167,$C25,'Financial source'!$B$6:$B$167,$D25,'Financial source'!$C$6:$C$167,$D$3)</x:f>
        <x:v>2000000</x:v>
      </x:c>
    </x:row>
    <x:row r="26" ht="22" customHeight="1">
      <x:c r="A26" s="1"/>
      <x:c r="B26" s="1"/>
      <x:c r="C26" s="1" t="str">
        <x:v>pale-sun</x:v>
      </x:c>
      <x:c r="D26" s="1" t="str">
        <x:v>expansion</x:v>
      </x:c>
      <x:c r="E26" s="13" t="n">
        <x:f>SUMIFS('Financial source'!$D$6:$D$167,'Financial source'!$A$6:$A$167,$C26,'Financial source'!$B$6:$B$167,$D26,'Financial source'!$C$6:$C$167,$D$3)</x:f>
        <x:v>43958127.8571</x:v>
      </x:c>
      <x:c r="F26" s="13" t="n">
        <x:f>SUMIFS('Financial source'!$E$6:$E$167,'Financial source'!$A$6:$A$167,$C26,'Financial source'!$B$6:$B$167,$D26,'Financial source'!$C$6:$C$167,$D$3)</x:f>
        <x:v>43771415.8567</x:v>
      </x:c>
      <x:c r="G26" s="13" t="n">
        <x:f>SUMIFS('Financial source'!$F$6:$F$167,'Financial source'!$A$6:$A$167,$C26,'Financial source'!$B$6:$B$167,$D26,'Financial source'!$C$6:$C$167,$D$3)</x:f>
        <x:v>186712.0004</x:v>
      </x:c>
      <x:c r="H26" s="13" t="n">
        <x:f>SUMIFS('Financial source'!$J$6:$J$167,'Financial source'!$A$6:$A$167,$C26,'Financial source'!$B$6:$B$167,$D26,'Financial source'!$C$6:$C$167,$D$3)</x:f>
        <x:v>2000000</x:v>
      </x:c>
    </x:row>
    <x:row r="27" ht="22" customHeight="1">
      <x:c r="A27" s="1"/>
      <x:c r="B27" s="1"/>
      <x:c r="C27" s="21" t="str">
        <x:v>project-cradle</x:v>
      </x:c>
      <x:c r="D27" s="21" t="str">
        <x:v>base</x:v>
      </x:c>
      <x:c r="E27" s="22" t="n">
        <x:f>SUMIFS('Financial source'!$D$6:$D$167,'Financial source'!$A$6:$A$167,$C27,'Financial source'!$B$6:$B$167,$D27,'Financial source'!$C$6:$C$167,$D$3)</x:f>
        <x:v>1007059.68</x:v>
      </x:c>
      <x:c r="F27" s="22" t="n">
        <x:f>SUMIFS('Financial source'!$E$6:$E$167,'Financial source'!$A$6:$A$167,$C27,'Financial source'!$B$6:$B$167,$D27,'Financial source'!$C$6:$C$167,$D$3)</x:f>
        <x:v>2952656.3384</x:v>
      </x:c>
      <x:c r="G27" s="22" t="n">
        <x:f>SUMIFS('Financial source'!$F$6:$F$167,'Financial source'!$A$6:$A$167,$C27,'Financial source'!$B$6:$B$167,$D27,'Financial source'!$C$6:$C$167,$D$3)</x:f>
        <x:v>-1945596.6584</x:v>
      </x:c>
      <x:c r="H27" s="22" t="n">
        <x:f>SUMIFS('Financial source'!$J$6:$J$167,'Financial source'!$A$6:$A$167,$C27,'Financial source'!$B$6:$B$167,$D27,'Financial source'!$C$6:$C$167,$D$3)</x:f>
        <x:v>-3034689.2393</x:v>
      </x:c>
    </x:row>
    <x:row r="28" ht="22" customHeight="1">
      <x:c r="A28" s="1"/>
      <x:c r="B28" s="1"/>
      <x:c r="C28" s="1" t="str">
        <x:v>project-cradle</x:v>
      </x:c>
      <x:c r="D28" s="1" t="str">
        <x:v>downside</x:v>
      </x:c>
      <x:c r="E28" s="13" t="n">
        <x:f>SUMIFS('Financial source'!$D$6:$D$167,'Financial source'!$A$6:$A$167,$C28,'Financial source'!$B$6:$B$167,$D28,'Financial source'!$C$6:$C$167,$D$3)</x:f>
        <x:v>461794.608</x:v>
      </x:c>
      <x:c r="F28" s="13" t="n">
        <x:f>SUMIFS('Financial source'!$E$6:$E$167,'Financial source'!$A$6:$A$167,$C28,'Financial source'!$B$6:$B$167,$D28,'Financial source'!$C$6:$C$167,$D$3)</x:f>
        <x:v>3049558.1898</x:v>
      </x:c>
      <x:c r="G28" s="13" t="n">
        <x:f>SUMIFS('Financial source'!$F$6:$F$167,'Financial source'!$A$6:$A$167,$C28,'Financial source'!$B$6:$B$167,$D28,'Financial source'!$C$6:$C$167,$D$3)</x:f>
        <x:v>-2587763.5818</x:v>
      </x:c>
      <x:c r="H28" s="13" t="n">
        <x:f>SUMIFS('Financial source'!$J$6:$J$167,'Financial source'!$A$6:$A$167,$C28,'Financial source'!$B$6:$B$167,$D28,'Financial source'!$C$6:$C$167,$D$3)</x:f>
        <x:v>-3903024.2153</x:v>
      </x:c>
    </x:row>
    <x:row r="29" ht="22" customHeight="1">
      <x:c r="A29" s="1"/>
      <x:c r="B29" s="1"/>
      <x:c r="C29" s="1" t="str">
        <x:v>project-cradle</x:v>
      </x:c>
      <x:c r="D29" s="1" t="str">
        <x:v>expansion</x:v>
      </x:c>
      <x:c r="E29" s="13" t="n">
        <x:f>SUMIFS('Financial source'!$D$6:$D$167,'Financial source'!$A$6:$A$167,$C29,'Financial source'!$B$6:$B$167,$D29,'Financial source'!$C$6:$C$167,$D$3)</x:f>
        <x:v>1143068.6592</x:v>
      </x:c>
      <x:c r="F29" s="13" t="n">
        <x:f>SUMIFS('Financial source'!$E$6:$E$167,'Financial source'!$A$6:$A$167,$C29,'Financial source'!$B$6:$B$167,$D29,'Financial source'!$C$6:$C$167,$D$3)</x:f>
        <x:v>3098379.8294</x:v>
      </x:c>
      <x:c r="G29" s="13" t="n">
        <x:f>SUMIFS('Financial source'!$F$6:$F$167,'Financial source'!$A$6:$A$167,$C29,'Financial source'!$B$6:$B$167,$D29,'Financial source'!$C$6:$C$167,$D$3)</x:f>
        <x:v>-1955311.1702</x:v>
      </x:c>
      <x:c r="H29" s="13" t="n">
        <x:f>SUMIFS('Financial source'!$J$6:$J$167,'Financial source'!$A$6:$A$167,$C29,'Financial source'!$B$6:$B$167,$D29,'Financial source'!$C$6:$C$167,$D$3)</x:f>
        <x:v>-3093137.7079</x:v>
      </x:c>
    </x:row>
    <x:row r="30" ht="22" customHeight="1">
      <x:c r="A30" s="1"/>
      <x:c r="B30" s="1"/>
      <x:c r="C30" s="21" t="str">
        <x:v>willow</x:v>
      </x:c>
      <x:c r="D30" s="21" t="str">
        <x:v>base</x:v>
      </x:c>
      <x:c r="E30" s="22" t="n">
        <x:f>SUMIFS('Financial source'!$D$6:$D$167,'Financial source'!$A$6:$A$167,$C30,'Financial source'!$B$6:$B$167,$D30,'Financial source'!$C$6:$C$167,$D$3)</x:f>
        <x:v>0</x:v>
      </x:c>
      <x:c r="F30" s="22" t="n">
        <x:f>SUMIFS('Financial source'!$E$6:$E$167,'Financial source'!$A$6:$A$167,$C30,'Financial source'!$B$6:$B$167,$D30,'Financial source'!$C$6:$C$167,$D$3)</x:f>
        <x:v>3947000</x:v>
      </x:c>
      <x:c r="G30" s="22" t="n">
        <x:f>SUMIFS('Financial source'!$F$6:$F$167,'Financial source'!$A$6:$A$167,$C30,'Financial source'!$B$6:$B$167,$D30,'Financial source'!$C$6:$C$167,$D$3)</x:f>
        <x:v>-3947000</x:v>
      </x:c>
      <x:c r="H30" s="22" t="n">
        <x:f>SUMIFS('Financial source'!$J$6:$J$167,'Financial source'!$A$6:$A$167,$C30,'Financial source'!$B$6:$B$167,$D30,'Financial source'!$C$6:$C$167,$D$3)</x:f>
        <x:v>-4305000</x:v>
      </x:c>
    </x:row>
    <x:row r="31" ht="22" customHeight="1">
      <x:c r="A31" s="1"/>
      <x:c r="B31" s="1"/>
      <x:c r="C31" s="1" t="str">
        <x:v>willow</x:v>
      </x:c>
      <x:c r="D31" s="1" t="str">
        <x:v>downside</x:v>
      </x:c>
      <x:c r="E31" s="13" t="n">
        <x:f>SUMIFS('Financial source'!$D$6:$D$167,'Financial source'!$A$6:$A$167,$C31,'Financial source'!$B$6:$B$167,$D31,'Financial source'!$C$6:$C$167,$D$3)</x:f>
        <x:v>0</x:v>
      </x:c>
      <x:c r="F31" s="13" t="n">
        <x:f>SUMIFS('Financial source'!$E$6:$E$167,'Financial source'!$A$6:$A$167,$C31,'Financial source'!$B$6:$B$167,$D31,'Financial source'!$C$6:$C$167,$D$3)</x:f>
        <x:v>4420640</x:v>
      </x:c>
      <x:c r="G31" s="13" t="n">
        <x:f>SUMIFS('Financial source'!$F$6:$F$167,'Financial source'!$A$6:$A$167,$C31,'Financial source'!$B$6:$B$167,$D31,'Financial source'!$C$6:$C$167,$D$3)</x:f>
        <x:v>-4420640</x:v>
      </x:c>
      <x:c r="H31" s="13" t="n">
        <x:f>SUMIFS('Financial source'!$J$6:$J$167,'Financial source'!$A$6:$A$167,$C31,'Financial source'!$B$6:$B$167,$D31,'Financial source'!$C$6:$C$167,$D$3)</x:f>
        <x:v>-4821600</x:v>
      </x:c>
    </x:row>
    <x:row r="32" ht="22" customHeight="1">
      <x:c r="A32" s="1"/>
      <x:c r="B32" s="1"/>
      <x:c r="C32" s="1" t="str">
        <x:v>willow</x:v>
      </x:c>
      <x:c r="D32" s="1" t="str">
        <x:v>expansion</x:v>
      </x:c>
      <x:c r="E32" s="13" t="n">
        <x:f>SUMIFS('Financial source'!$D$6:$D$167,'Financial source'!$A$6:$A$167,$C32,'Financial source'!$B$6:$B$167,$D32,'Financial source'!$C$6:$C$167,$D$3)</x:f>
        <x:v>0</x:v>
      </x:c>
      <x:c r="F32" s="13" t="n">
        <x:f>SUMIFS('Financial source'!$E$6:$E$167,'Financial source'!$A$6:$A$167,$C32,'Financial source'!$B$6:$B$167,$D32,'Financial source'!$C$6:$C$167,$D$3)</x:f>
        <x:v>4104880</x:v>
      </x:c>
      <x:c r="G32" s="13" t="n">
        <x:f>SUMIFS('Financial source'!$F$6:$F$167,'Financial source'!$A$6:$A$167,$C32,'Financial source'!$B$6:$B$167,$D32,'Financial source'!$C$6:$C$167,$D$3)</x:f>
        <x:v>-4104880</x:v>
      </x:c>
      <x:c r="H32" s="13" t="n">
        <x:f>SUMIFS('Financial source'!$J$6:$J$167,'Financial source'!$A$6:$A$167,$C32,'Financial source'!$B$6:$B$167,$D32,'Financial source'!$C$6:$C$167,$D$3)</x:f>
        <x:v>-4477200</x:v>
      </x:c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</x:sheetData>
  <x:dataValidations count="1">
    <x:dataValidation type="whole" operator="between" sqref="D3">
      <x:formula1>2026</x:formula1>
      <x:formula2>2031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9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</x:cols>
  <x:sheetData>
    <x:row r="1" ht="19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6" customHeight="1">
      <x:c r="A2" s="3" t="str">
        <x:v>Cash obligations (USD)</x:v>
      </x:c>
      <x:c r="B2" s="4"/>
      <x:c r="C2" s="4"/>
      <x:c r="D2" s="4"/>
      <x:c r="E2" s="4"/>
      <x:c r="F2" s="4"/>
      <x:c r="G2" s="4"/>
      <x:c r="H2" s="4"/>
      <x:c r="I2" s="4"/>
    </x:row>
    <x:row r="3" ht="19" customHeight="1">
      <x:c r="A3" s="5" t="str">
        <x:v>Source: versioned synthetic operating records. Full populations are in the accompanying CSV and SQLite files.</x:v>
      </x:c>
      <x:c r="B3" s="1"/>
      <x:c r="C3" s="1"/>
      <x:c r="D3" s="1"/>
      <x:c r="E3" s="1"/>
      <x:c r="F3" s="1"/>
      <x:c r="G3" s="1"/>
      <x:c r="H3" s="1"/>
      <x:c r="I3" s="1"/>
    </x:row>
    <x:row r="4" ht="19" customHeight="1">
      <x:c r="A4" s="6" t="str">
        <x:v>Content: edd301ad6c9d319532dfd9ae79ecdbfd5456fa73aeec8e61da1ca6f9279317ac</x:v>
      </x:c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11" t="str">
        <x:v>Scenario</x:v>
      </x:c>
      <x:c r="B5" s="11" t="str">
        <x:v>Year</x:v>
      </x:c>
      <x:c r="C5" s="11" t="str">
        <x:v>Cash-flow class</x:v>
      </x:c>
      <x:c r="D5" s="11" t="str">
        <x:v>Opening unpaid</x:v>
      </x:c>
      <x:c r="E5" s="11" t="str">
        <x:v>Payment requests</x:v>
      </x:c>
      <x:c r="F5" s="11" t="str">
        <x:v>Initially funded</x:v>
      </x:c>
      <x:c r="G5" s="11" t="str">
        <x:v>Arrears settled</x:v>
      </x:c>
      <x:c r="H5" s="11" t="str">
        <x:v>Closing unpaid</x:v>
      </x:c>
      <x:c r="I5" s="11" t="str">
        <x:v>Difference</x:v>
      </x:c>
    </x:row>
    <x:row r="6" ht="19" customHeight="1">
      <x:c r="A6" s="1" t="str">
        <x:v>base</x:v>
      </x:c>
      <x:c r="B6" s="12" t="n">
        <x:v>2027</x:v>
      </x:c>
      <x:c r="C6" s="1" t="str">
        <x:v>FINANCING</x:v>
      </x:c>
      <x:c r="D6" s="13" t="n">
        <x:v>0</x:v>
      </x:c>
      <x:c r="E6" s="13" t="n">
        <x:v>1200000</x:v>
      </x:c>
      <x:c r="F6" s="13" t="n">
        <x:v>1200000</x:v>
      </x:c>
      <x:c r="G6" s="13" t="n">
        <x:v>0</x:v>
      </x:c>
      <x:c r="H6" s="13" t="n">
        <x:v>0</x:v>
      </x:c>
      <x:c r="I6" s="14" t="n">
        <x:f>D6+E6-F6-G6-H6</x:f>
        <x:v>0</x:v>
      </x:c>
    </x:row>
    <x:row r="7" ht="19" customHeight="1">
      <x:c r="A7" s="1" t="str">
        <x:v>base</x:v>
      </x:c>
      <x:c r="B7" s="12" t="n">
        <x:v>2027</x:v>
      </x:c>
      <x:c r="C7" s="1" t="str">
        <x:v>INVESTING</x:v>
      </x:c>
      <x:c r="D7" s="13" t="n">
        <x:v>0</x:v>
      </x:c>
      <x:c r="E7" s="13" t="n">
        <x:v>1600000</x:v>
      </x:c>
      <x:c r="F7" s="13" t="n">
        <x:v>1600000</x:v>
      </x:c>
      <x:c r="G7" s="13" t="n">
        <x:v>0</x:v>
      </x:c>
      <x:c r="H7" s="13" t="n">
        <x:v>0</x:v>
      </x:c>
      <x:c r="I7" s="14" t="n">
        <x:f>D7+E7-F7-G7-H7</x:f>
        <x:v>0</x:v>
      </x:c>
    </x:row>
    <x:row r="8" ht="19" customHeight="1">
      <x:c r="A8" s="1" t="str">
        <x:v>base</x:v>
      </x:c>
      <x:c r="B8" s="12" t="n">
        <x:v>2027</x:v>
      </x:c>
      <x:c r="C8" s="1" t="str">
        <x:v>OPERATING</x:v>
      </x:c>
      <x:c r="D8" s="13" t="n">
        <x:v>0</x:v>
      </x:c>
      <x:c r="E8" s="13" t="n">
        <x:v>82343714.6673</x:v>
      </x:c>
      <x:c r="F8" s="13" t="n">
        <x:v>82343714.6673</x:v>
      </x:c>
      <x:c r="G8" s="13" t="n">
        <x:v>0</x:v>
      </x:c>
      <x:c r="H8" s="13" t="n">
        <x:v>0</x:v>
      </x:c>
      <x:c r="I8" s="14" t="n">
        <x:f>D8+E8-F8-G8-H8</x:f>
        <x:v>0</x:v>
      </x:c>
    </x:row>
    <x:row r="9" ht="19" customHeight="1">
      <x:c r="A9" s="1" t="str">
        <x:v>base</x:v>
      </x:c>
      <x:c r="B9" s="12" t="n">
        <x:v>2028</x:v>
      </x:c>
      <x:c r="C9" s="1" t="str">
        <x:v>FINANCING</x:v>
      </x:c>
      <x:c r="D9" s="13" t="n">
        <x:v>0</x:v>
      </x:c>
      <x:c r="E9" s="13" t="n">
        <x:v>1200000</x:v>
      </x:c>
      <x:c r="F9" s="13" t="n">
        <x:v>1200000</x:v>
      </x:c>
      <x:c r="G9" s="13" t="n">
        <x:v>0</x:v>
      </x:c>
      <x:c r="H9" s="13" t="n">
        <x:v>0</x:v>
      </x:c>
      <x:c r="I9" s="14" t="n">
        <x:f>D9+E9-F9-G9-H9</x:f>
        <x:v>0</x:v>
      </x:c>
    </x:row>
    <x:row r="10" ht="19" customHeight="1">
      <x:c r="A10" s="1" t="str">
        <x:v>base</x:v>
      </x:c>
      <x:c r="B10" s="12" t="n">
        <x:v>2028</x:v>
      </x:c>
      <x:c r="C10" s="1" t="str">
        <x:v>INVESTING</x:v>
      </x:c>
      <x:c r="D10" s="13" t="n">
        <x:v>0</x:v>
      </x:c>
      <x:c r="E10" s="13" t="n">
        <x:v>0</x:v>
      </x:c>
      <x:c r="F10" s="13" t="n">
        <x:v>0</x:v>
      </x:c>
      <x:c r="G10" s="13" t="n">
        <x:v>0</x:v>
      </x:c>
      <x:c r="H10" s="13" t="n">
        <x:v>0</x:v>
      </x:c>
      <x:c r="I10" s="14" t="n">
        <x:f>D10+E10-F10-G10-H10</x:f>
        <x:v>0</x:v>
      </x:c>
    </x:row>
    <x:row r="11" ht="19" customHeight="1">
      <x:c r="A11" s="1" t="str">
        <x:v>base</x:v>
      </x:c>
      <x:c r="B11" s="12" t="n">
        <x:v>2028</x:v>
      </x:c>
      <x:c r="C11" s="1" t="str">
        <x:v>OPERATING</x:v>
      </x:c>
      <x:c r="D11" s="13" t="n">
        <x:v>0</x:v>
      </x:c>
      <x:c r="E11" s="13" t="n">
        <x:v>84562515.7568</x:v>
      </x:c>
      <x:c r="F11" s="13" t="n">
        <x:v>84562515.7568</x:v>
      </x:c>
      <x:c r="G11" s="13" t="n">
        <x:v>0</x:v>
      </x:c>
      <x:c r="H11" s="13" t="n">
        <x:v>0</x:v>
      </x:c>
      <x:c r="I11" s="14" t="n">
        <x:f>D11+E11-F11-G11-H11</x:f>
        <x:v>0</x:v>
      </x:c>
    </x:row>
    <x:row r="12" ht="19" customHeight="1">
      <x:c r="A12" s="1" t="str">
        <x:v>base</x:v>
      </x:c>
      <x:c r="B12" s="12" t="n">
        <x:v>2029</x:v>
      </x:c>
      <x:c r="C12" s="1" t="str">
        <x:v>FINANCING</x:v>
      </x:c>
      <x:c r="D12" s="13" t="n">
        <x:v>0</x:v>
      </x:c>
      <x:c r="E12" s="13" t="n">
        <x:v>1200000</x:v>
      </x:c>
      <x:c r="F12" s="13" t="n">
        <x:v>1200000</x:v>
      </x:c>
      <x:c r="G12" s="13" t="n">
        <x:v>0</x:v>
      </x:c>
      <x:c r="H12" s="13" t="n">
        <x:v>0</x:v>
      </x:c>
      <x:c r="I12" s="14" t="n">
        <x:f>D12+E12-F12-G12-H12</x:f>
        <x:v>0</x:v>
      </x:c>
    </x:row>
    <x:row r="13" ht="19" customHeight="1">
      <x:c r="A13" s="1" t="str">
        <x:v>base</x:v>
      </x:c>
      <x:c r="B13" s="12" t="n">
        <x:v>2029</x:v>
      </x:c>
      <x:c r="C13" s="1" t="str">
        <x:v>INVESTING</x:v>
      </x:c>
      <x:c r="D13" s="13" t="n">
        <x:v>0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4" t="n">
        <x:f>D13+E13-F13-G13-H13</x:f>
        <x:v>0</x:v>
      </x:c>
    </x:row>
    <x:row r="14" ht="19" customHeight="1">
      <x:c r="A14" s="1" t="str">
        <x:v>base</x:v>
      </x:c>
      <x:c r="B14" s="12" t="n">
        <x:v>2029</x:v>
      </x:c>
      <x:c r="C14" s="1" t="str">
        <x:v>OPERATING</x:v>
      </x:c>
      <x:c r="D14" s="13" t="n">
        <x:v>0</x:v>
      </x:c>
      <x:c r="E14" s="13" t="n">
        <x:v>85834117.3928</x:v>
      </x:c>
      <x:c r="F14" s="13" t="n">
        <x:v>85834117.3928</x:v>
      </x:c>
      <x:c r="G14" s="13" t="n">
        <x:v>0</x:v>
      </x:c>
      <x:c r="H14" s="13" t="n">
        <x:v>0</x:v>
      </x:c>
      <x:c r="I14" s="14" t="n">
        <x:f>D14+E14-F14-G14-H14</x:f>
        <x:v>0</x:v>
      </x:c>
    </x:row>
    <x:row r="15" ht="19" customHeight="1">
      <x:c r="A15" s="1" t="str">
        <x:v>base</x:v>
      </x:c>
      <x:c r="B15" s="12" t="n">
        <x:v>2030</x:v>
      </x:c>
      <x:c r="C15" s="1" t="str">
        <x:v>FINANCING</x:v>
      </x:c>
      <x:c r="D15" s="13" t="n">
        <x:v>0</x:v>
      </x:c>
      <x:c r="E15" s="13" t="n">
        <x:v>1200000</x:v>
      </x:c>
      <x:c r="F15" s="13" t="n">
        <x:v>1200000</x:v>
      </x:c>
      <x:c r="G15" s="13" t="n">
        <x:v>0</x:v>
      </x:c>
      <x:c r="H15" s="13" t="n">
        <x:v>0</x:v>
      </x:c>
      <x:c r="I15" s="14" t="n">
        <x:f>D15+E15-F15-G15-H15</x:f>
        <x:v>0</x:v>
      </x:c>
    </x:row>
    <x:row r="16" ht="19" customHeight="1">
      <x:c r="A16" s="1" t="str">
        <x:v>base</x:v>
      </x:c>
      <x:c r="B16" s="12" t="n">
        <x:v>2030</x:v>
      </x:c>
      <x:c r="C16" s="1" t="str">
        <x:v>INVESTING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4" t="n">
        <x:f>D16+E16-F16-G16-H16</x:f>
        <x:v>0</x:v>
      </x:c>
    </x:row>
    <x:row r="17" ht="19" customHeight="1">
      <x:c r="A17" s="1" t="str">
        <x:v>base</x:v>
      </x:c>
      <x:c r="B17" s="12" t="n">
        <x:v>2030</x:v>
      </x:c>
      <x:c r="C17" s="1" t="str">
        <x:v>OPERATING</x:v>
      </x:c>
      <x:c r="D17" s="13" t="n">
        <x:v>0</x:v>
      </x:c>
      <x:c r="E17" s="13" t="n">
        <x:v>88275936.344</x:v>
      </x:c>
      <x:c r="F17" s="13" t="n">
        <x:v>88275936.344</x:v>
      </x:c>
      <x:c r="G17" s="13" t="n">
        <x:v>0</x:v>
      </x:c>
      <x:c r="H17" s="13" t="n">
        <x:v>0</x:v>
      </x:c>
      <x:c r="I17" s="14" t="n">
        <x:f>D17+E17-F17-G17-H17</x:f>
        <x:v>0</x:v>
      </x:c>
    </x:row>
    <x:row r="18" ht="19" customHeight="1">
      <x:c r="A18" s="1" t="str">
        <x:v>base</x:v>
      </x:c>
      <x:c r="B18" s="12" t="n">
        <x:v>2031</x:v>
      </x:c>
      <x:c r="C18" s="1" t="str">
        <x:v>FINANCING</x:v>
      </x:c>
      <x:c r="D18" s="13" t="n">
        <x:v>0</x:v>
      </x:c>
      <x:c r="E18" s="13" t="n">
        <x:v>1200000</x:v>
      </x:c>
      <x:c r="F18" s="13" t="n">
        <x:v>1200000</x:v>
      </x:c>
      <x:c r="G18" s="13" t="n">
        <x:v>0</x:v>
      </x:c>
      <x:c r="H18" s="13" t="n">
        <x:v>0</x:v>
      </x:c>
      <x:c r="I18" s="14" t="n">
        <x:f>D18+E18-F18-G18-H18</x:f>
        <x:v>0</x:v>
      </x:c>
    </x:row>
    <x:row r="19" ht="19" customHeight="1">
      <x:c r="A19" s="1" t="str">
        <x:v>base</x:v>
      </x:c>
      <x:c r="B19" s="12" t="n">
        <x:v>2031</x:v>
      </x:c>
      <x:c r="C19" s="1" t="str">
        <x:v>INVESTING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4" t="n">
        <x:f>D19+E19-F19-G19-H19</x:f>
        <x:v>0</x:v>
      </x:c>
    </x:row>
    <x:row r="20" ht="19" customHeight="1">
      <x:c r="A20" s="1" t="str">
        <x:v>base</x:v>
      </x:c>
      <x:c r="B20" s="12" t="n">
        <x:v>2031</x:v>
      </x:c>
      <x:c r="C20" s="1" t="str">
        <x:v>OPERATING</x:v>
      </x:c>
      <x:c r="D20" s="13" t="n">
        <x:v>0</x:v>
      </x:c>
      <x:c r="E20" s="13" t="n">
        <x:v>90878709.5532</x:v>
      </x:c>
      <x:c r="F20" s="13" t="n">
        <x:v>90878709.5532</x:v>
      </x:c>
      <x:c r="G20" s="13" t="n">
        <x:v>0</x:v>
      </x:c>
      <x:c r="H20" s="13" t="n">
        <x:v>0</x:v>
      </x:c>
      <x:c r="I20" s="14" t="n">
        <x:f>D20+E20-F20-G20-H20</x:f>
        <x:v>0</x:v>
      </x:c>
    </x:row>
    <x:row r="21" ht="19" customHeight="1">
      <x:c r="A21" s="1" t="str">
        <x:v>downside</x:v>
      </x:c>
      <x:c r="B21" s="12" t="n">
        <x:v>2027</x:v>
      </x:c>
      <x:c r="C21" s="1" t="str">
        <x:v>FINANCING</x:v>
      </x:c>
      <x:c r="D21" s="13" t="n">
        <x:v>0</x:v>
      </x:c>
      <x:c r="E21" s="13" t="n">
        <x:v>1200000</x:v>
      </x:c>
      <x:c r="F21" s="13" t="n">
        <x:v>1100000</x:v>
      </x:c>
      <x:c r="G21" s="13" t="n">
        <x:v>100000</x:v>
      </x:c>
      <x:c r="H21" s="13" t="n">
        <x:v>0</x:v>
      </x:c>
      <x:c r="I21" s="14" t="n">
        <x:f>D21+E21-F21-G21-H21</x:f>
        <x:v>0</x:v>
      </x:c>
    </x:row>
    <x:row r="22" ht="19" customHeight="1">
      <x:c r="A22" s="1" t="str">
        <x:v>downside</x:v>
      </x:c>
      <x:c r="B22" s="12" t="n">
        <x:v>2027</x:v>
      </x:c>
      <x:c r="C22" s="1" t="str">
        <x:v>INVESTING</x:v>
      </x:c>
      <x:c r="D22" s="13" t="n">
        <x:v>0</x:v>
      </x:c>
      <x:c r="E22" s="13" t="n">
        <x:v>1792000</x:v>
      </x:c>
      <x:c r="F22" s="13" t="n">
        <x:v>1307907.6093</x:v>
      </x:c>
      <x:c r="G22" s="13" t="n">
        <x:v>484092.3907</x:v>
      </x:c>
      <x:c r="H22" s="13" t="n">
        <x:v>0</x:v>
      </x:c>
      <x:c r="I22" s="14" t="n">
        <x:f>D22+E22-F22-G22-H22</x:f>
        <x:v>1.1641532182693481e-10</x:v>
      </x:c>
    </x:row>
    <x:row r="23" ht="19" customHeight="1">
      <x:c r="A23" s="1" t="str">
        <x:v>downside</x:v>
      </x:c>
      <x:c r="B23" s="12" t="n">
        <x:v>2027</x:v>
      </x:c>
      <x:c r="C23" s="1" t="str">
        <x:v>OPERATING</x:v>
      </x:c>
      <x:c r="D23" s="13" t="n">
        <x:v>0</x:v>
      </x:c>
      <x:c r="E23" s="13" t="n">
        <x:v>91581815.5553</x:v>
      </x:c>
      <x:c r="F23" s="13" t="n">
        <x:v>53465464.9105</x:v>
      </x:c>
      <x:c r="G23" s="13" t="n">
        <x:v>14896255.7815</x:v>
      </x:c>
      <x:c r="H23" s="13" t="n">
        <x:v>23220094.8633</x:v>
      </x:c>
      <x:c r="I23" s="14" t="n">
        <x:f>D23+E23-F23-G23-H23</x:f>
        <x:v>0</x:v>
      </x:c>
    </x:row>
    <x:row r="24" ht="19" customHeight="1">
      <x:c r="A24" s="1" t="str">
        <x:v>downside</x:v>
      </x:c>
      <x:c r="B24" s="12" t="n">
        <x:v>2028</x:v>
      </x:c>
      <x:c r="C24" s="1" t="str">
        <x:v>FINANCING</x:v>
      </x:c>
      <x:c r="D24" s="13" t="n">
        <x:v>0</x:v>
      </x:c>
      <x:c r="E24" s="13" t="n">
        <x:v>1200000</x:v>
      </x:c>
      <x:c r="F24" s="13" t="n">
        <x:v>1200000</x:v>
      </x:c>
      <x:c r="G24" s="13" t="n">
        <x:v>0</x:v>
      </x:c>
      <x:c r="H24" s="13" t="n">
        <x:v>0</x:v>
      </x:c>
      <x:c r="I24" s="14" t="n">
        <x:f>D24+E24-F24-G24-H24</x:f>
        <x:v>0</x:v>
      </x:c>
    </x:row>
    <x:row r="25" ht="19" customHeight="1">
      <x:c r="A25" s="1" t="str">
        <x:v>downside</x:v>
      </x:c>
      <x:c r="B25" s="12" t="n">
        <x:v>2028</x:v>
      </x:c>
      <x:c r="C25" s="1" t="str">
        <x:v>INVESTING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4" t="n">
        <x:f>D25+E25-F25-G25-H25</x:f>
        <x:v>0</x:v>
      </x:c>
    </x:row>
    <x:row r="26" ht="19" customHeight="1">
      <x:c r="A26" s="1" t="str">
        <x:v>downside</x:v>
      </x:c>
      <x:c r="B26" s="12" t="n">
        <x:v>2028</x:v>
      </x:c>
      <x:c r="C26" s="1" t="str">
        <x:v>OPERATING</x:v>
      </x:c>
      <x:c r="D26" s="13" t="n">
        <x:v>23220094.8633</x:v>
      </x:c>
      <x:c r="E26" s="13" t="n">
        <x:v>92985400.8768</x:v>
      </x:c>
      <x:c r="F26" s="13" t="n">
        <x:v>39742591.4032</x:v>
      </x:c>
      <x:c r="G26" s="13" t="n">
        <x:v>32383345.4288</x:v>
      </x:c>
      <x:c r="H26" s="13" t="n">
        <x:v>44079558.9081</x:v>
      </x:c>
      <x:c r="I26" s="14" t="n">
        <x:f>D26+E26-F26-G26-H26</x:f>
        <x:v>-7.450580596923828e-9</x:v>
      </x:c>
    </x:row>
    <x:row r="27" ht="19" customHeight="1">
      <x:c r="A27" s="1" t="str">
        <x:v>downside</x:v>
      </x:c>
      <x:c r="B27" s="12" t="n">
        <x:v>2029</x:v>
      </x:c>
      <x:c r="C27" s="1" t="str">
        <x:v>FINANCING</x:v>
      </x:c>
      <x:c r="D27" s="13" t="n">
        <x:v>0</x:v>
      </x:c>
      <x:c r="E27" s="13" t="n">
        <x:v>1200000</x:v>
      </x:c>
      <x:c r="F27" s="13" t="n">
        <x:v>1200000</x:v>
      </x:c>
      <x:c r="G27" s="13" t="n">
        <x:v>0</x:v>
      </x:c>
      <x:c r="H27" s="13" t="n">
        <x:v>0</x:v>
      </x:c>
      <x:c r="I27" s="14" t="n">
        <x:f>D27+E27-F27-G27-H27</x:f>
        <x:v>0</x:v>
      </x:c>
    </x:row>
    <x:row r="28" ht="19" customHeight="1">
      <x:c r="A28" s="1" t="str">
        <x:v>downside</x:v>
      </x:c>
      <x:c r="B28" s="12" t="n">
        <x:v>2029</x:v>
      </x:c>
      <x:c r="C28" s="1" t="str">
        <x:v>INVESTING</x:v>
      </x:c>
      <x:c r="D28" s="13" t="n">
        <x:v>0</x:v>
      </x:c>
      <x:c r="E28" s="13" t="n">
        <x:v>0</x:v>
      </x:c>
      <x:c r="F28" s="13" t="n">
        <x:v>0</x:v>
      </x:c>
      <x:c r="G28" s="13" t="n">
        <x:v>0</x:v>
      </x:c>
      <x:c r="H28" s="13" t="n">
        <x:v>0</x:v>
      </x:c>
      <x:c r="I28" s="14" t="n">
        <x:f>D28+E28-F28-G28-H28</x:f>
        <x:v>0</x:v>
      </x:c>
    </x:row>
    <x:row r="29" ht="19" customHeight="1">
      <x:c r="A29" s="1" t="str">
        <x:v>downside</x:v>
      </x:c>
      <x:c r="B29" s="12" t="n">
        <x:v>2029</x:v>
      </x:c>
      <x:c r="C29" s="1" t="str">
        <x:v>OPERATING</x:v>
      </x:c>
      <x:c r="D29" s="13" t="n">
        <x:v>44079558.9081</x:v>
      </x:c>
      <x:c r="E29" s="13" t="n">
        <x:v>95638269.9968</x:v>
      </x:c>
      <x:c r="F29" s="13" t="n">
        <x:v>40018360.8774</x:v>
      </x:c>
      <x:c r="G29" s="13" t="n">
        <x:v>40653105.9546</x:v>
      </x:c>
      <x:c r="H29" s="13" t="n">
        <x:v>59046362.0729</x:v>
      </x:c>
      <x:c r="I29" s="14" t="n">
        <x:f>D29+E29-F29-G29-H29</x:f>
        <x:v>7.450580596923828e-9</x:v>
      </x:c>
    </x:row>
    <x:row r="30" ht="19" customHeight="1">
      <x:c r="A30" s="1" t="str">
        <x:v>downside</x:v>
      </x:c>
      <x:c r="B30" s="12" t="n">
        <x:v>2030</x:v>
      </x:c>
      <x:c r="C30" s="1" t="str">
        <x:v>FINANCING</x:v>
      </x:c>
      <x:c r="D30" s="13" t="n">
        <x:v>0</x:v>
      </x:c>
      <x:c r="E30" s="13" t="n">
        <x:v>1200000</x:v>
      </x:c>
      <x:c r="F30" s="13" t="n">
        <x:v>1200000</x:v>
      </x:c>
      <x:c r="G30" s="13" t="n">
        <x:v>0</x:v>
      </x:c>
      <x:c r="H30" s="13" t="n">
        <x:v>0</x:v>
      </x:c>
      <x:c r="I30" s="14" t="n">
        <x:f>D30+E30-F30-G30-H30</x:f>
        <x:v>0</x:v>
      </x:c>
    </x:row>
    <x:row r="31" ht="19" customHeight="1">
      <x:c r="A31" s="1" t="str">
        <x:v>downside</x:v>
      </x:c>
      <x:c r="B31" s="12" t="n">
        <x:v>2030</x:v>
      </x:c>
      <x:c r="C31" s="1" t="str">
        <x:v>INVESTING</x:v>
      </x:c>
      <x:c r="D31" s="13" t="n">
        <x:v>0</x:v>
      </x:c>
      <x:c r="E31" s="13" t="n">
        <x:v>0</x:v>
      </x:c>
      <x:c r="F31" s="13" t="n">
        <x:v>0</x:v>
      </x:c>
      <x:c r="G31" s="13" t="n">
        <x:v>0</x:v>
      </x:c>
      <x:c r="H31" s="13" t="n">
        <x:v>0</x:v>
      </x:c>
      <x:c r="I31" s="14" t="n">
        <x:f>D31+E31-F31-G31-H31</x:f>
        <x:v>0</x:v>
      </x:c>
    </x:row>
    <x:row r="32" ht="19" customHeight="1">
      <x:c r="A32" s="1" t="str">
        <x:v>downside</x:v>
      </x:c>
      <x:c r="B32" s="12" t="n">
        <x:v>2030</x:v>
      </x:c>
      <x:c r="C32" s="1" t="str">
        <x:v>OPERATING</x:v>
      </x:c>
      <x:c r="D32" s="13" t="n">
        <x:v>59046362.0729</x:v>
      </x:c>
      <x:c r="E32" s="13" t="n">
        <x:v>98376385.5464</x:v>
      </x:c>
      <x:c r="F32" s="13" t="n">
        <x:v>44737528.869</x:v>
      </x:c>
      <x:c r="G32" s="13" t="n">
        <x:v>44677310.811</x:v>
      </x:c>
      <x:c r="H32" s="13" t="n">
        <x:v>68007907.9393</x:v>
      </x:c>
      <x:c r="I32" s="14" t="n">
        <x:f>D32+E32-F32-G32-H32</x:f>
        <x:v>0</x:v>
      </x:c>
    </x:row>
    <x:row r="33" ht="19" customHeight="1">
      <x:c r="A33" s="1" t="str">
        <x:v>downside</x:v>
      </x:c>
      <x:c r="B33" s="12" t="n">
        <x:v>2031</x:v>
      </x:c>
      <x:c r="C33" s="1" t="str">
        <x:v>FINANCING</x:v>
      </x:c>
      <x:c r="D33" s="13" t="n">
        <x:v>0</x:v>
      </x:c>
      <x:c r="E33" s="13" t="n">
        <x:v>1200000</x:v>
      </x:c>
      <x:c r="F33" s="13" t="n">
        <x:v>1200000</x:v>
      </x:c>
      <x:c r="G33" s="13" t="n">
        <x:v>0</x:v>
      </x:c>
      <x:c r="H33" s="13" t="n">
        <x:v>0</x:v>
      </x:c>
      <x:c r="I33" s="14" t="n">
        <x:f>D33+E33-F33-G33-H33</x:f>
        <x:v>0</x:v>
      </x:c>
    </x:row>
    <x:row r="34" ht="19" customHeight="1">
      <x:c r="A34" s="1" t="str">
        <x:v>downside</x:v>
      </x:c>
      <x:c r="B34" s="12" t="n">
        <x:v>2031</x:v>
      </x:c>
      <x:c r="C34" s="1" t="str">
        <x:v>INVESTING</x:v>
      </x:c>
      <x:c r="D34" s="13" t="n">
        <x:v>0</x:v>
      </x:c>
      <x:c r="E34" s="13" t="n">
        <x:v>0</x:v>
      </x:c>
      <x:c r="F34" s="13" t="n">
        <x:v>0</x:v>
      </x:c>
      <x:c r="G34" s="13" t="n">
        <x:v>0</x:v>
      </x:c>
      <x:c r="H34" s="13" t="n">
        <x:v>0</x:v>
      </x:c>
      <x:c r="I34" s="14" t="n">
        <x:f>D34+E34-F34-G34-H34</x:f>
        <x:v>0</x:v>
      </x:c>
    </x:row>
    <x:row r="35" ht="19" customHeight="1">
      <x:c r="A35" s="1" t="str">
        <x:v>downside</x:v>
      </x:c>
      <x:c r="B35" s="12" t="n">
        <x:v>2031</x:v>
      </x:c>
      <x:c r="C35" s="1" t="str">
        <x:v>OPERATING</x:v>
      </x:c>
      <x:c r="D35" s="13" t="n">
        <x:v>68007907.9393</x:v>
      </x:c>
      <x:c r="E35" s="13" t="n">
        <x:v>101274893.16</x:v>
      </x:c>
      <x:c r="F35" s="13" t="n">
        <x:v>49827969.6426</x:v>
      </x:c>
      <x:c r="G35" s="13" t="n">
        <x:v>49175298.9966</x:v>
      </x:c>
      <x:c r="H35" s="13" t="n">
        <x:v>70279532.4601</x:v>
      </x:c>
      <x:c r="I35" s="14" t="n">
        <x:f>D35+E35-F35-G35-H35</x:f>
        <x:v>0</x:v>
      </x:c>
    </x:row>
    <x:row r="36" ht="19" customHeight="1">
      <x:c r="A36" s="1" t="str">
        <x:v>expansion</x:v>
      </x:c>
      <x:c r="B36" s="12" t="n">
        <x:v>2027</x:v>
      </x:c>
      <x:c r="C36" s="1" t="str">
        <x:v>FINANCING</x:v>
      </x:c>
      <x:c r="D36" s="13" t="n">
        <x:v>0</x:v>
      </x:c>
      <x:c r="E36" s="13" t="n">
        <x:v>1200000</x:v>
      </x:c>
      <x:c r="F36" s="13" t="n">
        <x:v>1200000</x:v>
      </x:c>
      <x:c r="G36" s="13" t="n">
        <x:v>0</x:v>
      </x:c>
      <x:c r="H36" s="13" t="n">
        <x:v>0</x:v>
      </x:c>
      <x:c r="I36" s="14" t="n">
        <x:f>D36+E36-F36-G36-H36</x:f>
        <x:v>0</x:v>
      </x:c>
    </x:row>
    <x:row r="37" ht="19" customHeight="1">
      <x:c r="A37" s="1" t="str">
        <x:v>expansion</x:v>
      </x:c>
      <x:c r="B37" s="12" t="n">
        <x:v>2027</x:v>
      </x:c>
      <x:c r="C37" s="1" t="str">
        <x:v>INVESTING</x:v>
      </x:c>
      <x:c r="D37" s="13" t="n">
        <x:v>0</x:v>
      </x:c>
      <x:c r="E37" s="13" t="n">
        <x:v>1664000</x:v>
      </x:c>
      <x:c r="F37" s="13" t="n">
        <x:v>1664000</x:v>
      </x:c>
      <x:c r="G37" s="13" t="n">
        <x:v>0</x:v>
      </x:c>
      <x:c r="H37" s="13" t="n">
        <x:v>0</x:v>
      </x:c>
      <x:c r="I37" s="14" t="n">
        <x:f>D37+E37-F37-G37-H37</x:f>
        <x:v>0</x:v>
      </x:c>
    </x:row>
    <x:row r="38" ht="19" customHeight="1">
      <x:c r="A38" s="1" t="str">
        <x:v>expansion</x:v>
      </x:c>
      <x:c r="B38" s="12" t="n">
        <x:v>2027</x:v>
      </x:c>
      <x:c r="C38" s="1" t="str">
        <x:v>OPERATING</x:v>
      </x:c>
      <x:c r="D38" s="13" t="n">
        <x:v>0</x:v>
      </x:c>
      <x:c r="E38" s="13" t="n">
        <x:v>85574372.3239</x:v>
      </x:c>
      <x:c r="F38" s="13" t="n">
        <x:v>85574372.3239</x:v>
      </x:c>
      <x:c r="G38" s="13" t="n">
        <x:v>0</x:v>
      </x:c>
      <x:c r="H38" s="13" t="n">
        <x:v>0</x:v>
      </x:c>
      <x:c r="I38" s="14" t="n">
        <x:f>D38+E38-F38-G38-H38</x:f>
        <x:v>0</x:v>
      </x:c>
    </x:row>
    <x:row r="39" ht="19" customHeight="1">
      <x:c r="A39" s="1" t="str">
        <x:v>expansion</x:v>
      </x:c>
      <x:c r="B39" s="12" t="n">
        <x:v>2028</x:v>
      </x:c>
      <x:c r="C39" s="1" t="str">
        <x:v>FINANCING</x:v>
      </x:c>
      <x:c r="D39" s="13" t="n">
        <x:v>0</x:v>
      </x:c>
      <x:c r="E39" s="13" t="n">
        <x:v>1200000</x:v>
      </x:c>
      <x:c r="F39" s="13" t="n">
        <x:v>1200000</x:v>
      </x:c>
      <x:c r="G39" s="13" t="n">
        <x:v>0</x:v>
      </x:c>
      <x:c r="H39" s="13" t="n">
        <x:v>0</x:v>
      </x:c>
      <x:c r="I39" s="14" t="n">
        <x:f>D39+E39-F39-G39-H39</x:f>
        <x:v>0</x:v>
      </x:c>
    </x:row>
    <x:row r="40" ht="19" customHeight="1">
      <x:c r="A40" s="1" t="str">
        <x:v>expansion</x:v>
      </x:c>
      <x:c r="B40" s="12" t="n">
        <x:v>2028</x:v>
      </x:c>
      <x:c r="C40" s="1" t="str">
        <x:v>INVESTING</x:v>
      </x:c>
      <x:c r="D40" s="13" t="n">
        <x:v>0</x:v>
      </x:c>
      <x:c r="E40" s="13" t="n">
        <x:v>0</x:v>
      </x:c>
      <x:c r="F40" s="13" t="n">
        <x:v>0</x:v>
      </x:c>
      <x:c r="G40" s="13" t="n">
        <x:v>0</x:v>
      </x:c>
      <x:c r="H40" s="13" t="n">
        <x:v>0</x:v>
      </x:c>
      <x:c r="I40" s="14" t="n">
        <x:f>D40+E40-F40-G40-H40</x:f>
        <x:v>0</x:v>
      </x:c>
    </x:row>
    <x:row r="41" ht="19" customHeight="1">
      <x:c r="A41" s="1" t="str">
        <x:v>expansion</x:v>
      </x:c>
      <x:c r="B41" s="12" t="n">
        <x:v>2028</x:v>
      </x:c>
      <x:c r="C41" s="1" t="str">
        <x:v>OPERATING</x:v>
      </x:c>
      <x:c r="D41" s="13" t="n">
        <x:v>0</x:v>
      </x:c>
      <x:c r="E41" s="13" t="n">
        <x:v>87990050.6648</x:v>
      </x:c>
      <x:c r="F41" s="13" t="n">
        <x:v>87990050.6648</x:v>
      </x:c>
      <x:c r="G41" s="13" t="n">
        <x:v>0</x:v>
      </x:c>
      <x:c r="H41" s="13" t="n">
        <x:v>0</x:v>
      </x:c>
      <x:c r="I41" s="14" t="n">
        <x:f>D41+E41-F41-G41-H41</x:f>
        <x:v>0</x:v>
      </x:c>
    </x:row>
    <x:row r="42" ht="19" customHeight="1">
      <x:c r="A42" s="1" t="str">
        <x:v>expansion</x:v>
      </x:c>
      <x:c r="B42" s="12" t="n">
        <x:v>2029</x:v>
      </x:c>
      <x:c r="C42" s="1" t="str">
        <x:v>FINANCING</x:v>
      </x:c>
      <x:c r="D42" s="13" t="n">
        <x:v>0</x:v>
      </x:c>
      <x:c r="E42" s="13" t="n">
        <x:v>1200000</x:v>
      </x:c>
      <x:c r="F42" s="13" t="n">
        <x:v>1200000</x:v>
      </x:c>
      <x:c r="G42" s="13" t="n">
        <x:v>0</x:v>
      </x:c>
      <x:c r="H42" s="13" t="n">
        <x:v>0</x:v>
      </x:c>
      <x:c r="I42" s="14" t="n">
        <x:f>D42+E42-F42-G42-H42</x:f>
        <x:v>0</x:v>
      </x:c>
    </x:row>
    <x:row r="43" ht="19" customHeight="1">
      <x:c r="A43" s="1" t="str">
        <x:v>expansion</x:v>
      </x:c>
      <x:c r="B43" s="12" t="n">
        <x:v>2029</x:v>
      </x:c>
      <x:c r="C43" s="1" t="str">
        <x:v>INVESTING</x:v>
      </x:c>
      <x:c r="D43" s="13" t="n">
        <x:v>0</x:v>
      </x:c>
      <x:c r="E43" s="13" t="n">
        <x:v>0</x:v>
      </x:c>
      <x:c r="F43" s="13" t="n">
        <x:v>0</x:v>
      </x:c>
      <x:c r="G43" s="13" t="n">
        <x:v>0</x:v>
      </x:c>
      <x:c r="H43" s="13" t="n">
        <x:v>0</x:v>
      </x:c>
      <x:c r="I43" s="14" t="n">
        <x:f>D43+E43-F43-G43-H43</x:f>
        <x:v>0</x:v>
      </x:c>
    </x:row>
    <x:row r="44" ht="19" customHeight="1">
      <x:c r="A44" s="1" t="str">
        <x:v>expansion</x:v>
      </x:c>
      <x:c r="B44" s="12" t="n">
        <x:v>2029</x:v>
      </x:c>
      <x:c r="C44" s="1" t="str">
        <x:v>OPERATING</x:v>
      </x:c>
      <x:c r="D44" s="13" t="n">
        <x:v>0</x:v>
      </x:c>
      <x:c r="E44" s="13" t="n">
        <x:v>89314587.9464</x:v>
      </x:c>
      <x:c r="F44" s="13" t="n">
        <x:v>89314587.9464</x:v>
      </x:c>
      <x:c r="G44" s="13" t="n">
        <x:v>0</x:v>
      </x:c>
      <x:c r="H44" s="13" t="n">
        <x:v>0</x:v>
      </x:c>
      <x:c r="I44" s="14" t="n">
        <x:f>D44+E44-F44-G44-H44</x:f>
        <x:v>0</x:v>
      </x:c>
    </x:row>
    <x:row r="45" ht="19" customHeight="1">
      <x:c r="A45" s="1" t="str">
        <x:v>expansion</x:v>
      </x:c>
      <x:c r="B45" s="12" t="n">
        <x:v>2030</x:v>
      </x:c>
      <x:c r="C45" s="1" t="str">
        <x:v>FINANCING</x:v>
      </x:c>
      <x:c r="D45" s="13" t="n">
        <x:v>0</x:v>
      </x:c>
      <x:c r="E45" s="13" t="n">
        <x:v>1200000</x:v>
      </x:c>
      <x:c r="F45" s="13" t="n">
        <x:v>1200000</x:v>
      </x:c>
      <x:c r="G45" s="13" t="n">
        <x:v>0</x:v>
      </x:c>
      <x:c r="H45" s="13" t="n">
        <x:v>0</x:v>
      </x:c>
      <x:c r="I45" s="14" t="n">
        <x:f>D45+E45-F45-G45-H45</x:f>
        <x:v>0</x:v>
      </x:c>
    </x:row>
    <x:row r="46" ht="19" customHeight="1">
      <x:c r="A46" s="1" t="str">
        <x:v>expansion</x:v>
      </x:c>
      <x:c r="B46" s="12" t="n">
        <x:v>2030</x:v>
      </x:c>
      <x:c r="C46" s="1" t="str">
        <x:v>INVESTING</x:v>
      </x:c>
      <x:c r="D46" s="13" t="n">
        <x:v>0</x:v>
      </x:c>
      <x:c r="E46" s="13" t="n">
        <x:v>0</x:v>
      </x:c>
      <x:c r="F46" s="13" t="n">
        <x:v>0</x:v>
      </x:c>
      <x:c r="G46" s="13" t="n">
        <x:v>0</x:v>
      </x:c>
      <x:c r="H46" s="13" t="n">
        <x:v>0</x:v>
      </x:c>
      <x:c r="I46" s="14" t="n">
        <x:f>D46+E46-F46-G46-H46</x:f>
        <x:v>0</x:v>
      </x:c>
    </x:row>
    <x:row r="47" ht="19" customHeight="1">
      <x:c r="A47" s="1" t="str">
        <x:v>expansion</x:v>
      </x:c>
      <x:c r="B47" s="12" t="n">
        <x:v>2030</x:v>
      </x:c>
      <x:c r="C47" s="1" t="str">
        <x:v>OPERATING</x:v>
      </x:c>
      <x:c r="D47" s="13" t="n">
        <x:v>0</x:v>
      </x:c>
      <x:c r="E47" s="13" t="n">
        <x:v>91857199.4516</x:v>
      </x:c>
      <x:c r="F47" s="13" t="n">
        <x:v>91857199.4516</x:v>
      </x:c>
      <x:c r="G47" s="13" t="n">
        <x:v>0</x:v>
      </x:c>
      <x:c r="H47" s="13" t="n">
        <x:v>0</x:v>
      </x:c>
      <x:c r="I47" s="14" t="n">
        <x:f>D47+E47-F47-G47-H47</x:f>
        <x:v>0</x:v>
      </x:c>
    </x:row>
    <x:row r="48" ht="19" customHeight="1">
      <x:c r="A48" s="1" t="str">
        <x:v>expansion</x:v>
      </x:c>
      <x:c r="B48" s="12" t="n">
        <x:v>2031</x:v>
      </x:c>
      <x:c r="C48" s="1" t="str">
        <x:v>FINANCING</x:v>
      </x:c>
      <x:c r="D48" s="13" t="n">
        <x:v>0</x:v>
      </x:c>
      <x:c r="E48" s="13" t="n">
        <x:v>1200000</x:v>
      </x:c>
      <x:c r="F48" s="13" t="n">
        <x:v>1200000</x:v>
      </x:c>
      <x:c r="G48" s="13" t="n">
        <x:v>0</x:v>
      </x:c>
      <x:c r="H48" s="13" t="n">
        <x:v>0</x:v>
      </x:c>
      <x:c r="I48" s="14" t="n">
        <x:f>D48+E48-F48-G48-H48</x:f>
        <x:v>0</x:v>
      </x:c>
    </x:row>
    <x:row r="49" ht="19" customHeight="1">
      <x:c r="A49" s="1" t="str">
        <x:v>expansion</x:v>
      </x:c>
      <x:c r="B49" s="12" t="n">
        <x:v>2031</x:v>
      </x:c>
      <x:c r="C49" s="1" t="str">
        <x:v>INVESTING</x:v>
      </x:c>
      <x:c r="D49" s="13" t="n">
        <x:v>0</x:v>
      </x:c>
      <x:c r="E49" s="13" t="n">
        <x:v>0</x:v>
      </x:c>
      <x:c r="F49" s="13" t="n">
        <x:v>0</x:v>
      </x:c>
      <x:c r="G49" s="13" t="n">
        <x:v>0</x:v>
      </x:c>
      <x:c r="H49" s="13" t="n">
        <x:v>0</x:v>
      </x:c>
      <x:c r="I49" s="14" t="n">
        <x:f>D49+E49-F49-G49-H49</x:f>
        <x:v>0</x:v>
      </x:c>
    </x:row>
    <x:row r="50" ht="19" customHeight="1">
      <x:c r="A50" s="1" t="str">
        <x:v>expansion</x:v>
      </x:c>
      <x:c r="B50" s="12" t="n">
        <x:v>2031</x:v>
      </x:c>
      <x:c r="C50" s="1" t="str">
        <x:v>OPERATING</x:v>
      </x:c>
      <x:c r="D50" s="13" t="n">
        <x:v>0</x:v>
      </x:c>
      <x:c r="E50" s="13" t="n">
        <x:v>94570747.9672</x:v>
      </x:c>
      <x:c r="F50" s="13" t="n">
        <x:v>94570747.9672</x:v>
      </x:c>
      <x:c r="G50" s="13" t="n">
        <x:v>0</x:v>
      </x:c>
      <x:c r="H50" s="13" t="n">
        <x:v>0</x:v>
      </x:c>
      <x:c r="I50" s="14" t="n">
        <x:f>D50+E50-F50-G50-H50</x:f>
        <x:v>0</x:v>
      </x:c>
    </x:row>
  </x:sheetData>
  <x:conditionalFormatting sqref="I6:I50">
    <x:cfRule type="expression" dxfId="0" priority="1">
      <x:formula>ABS(I6)&gt;0.0001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</x:cols>
  <x:sheetData>
    <x:row r="1" ht="19" customHeight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3" t="str">
        <x:v>Control reviews: synthetic exercises</x:v>
      </x:c>
      <x:c r="B2" s="4"/>
      <x:c r="C2" s="4"/>
      <x:c r="D2" s="4"/>
      <x:c r="E2" s="4"/>
      <x:c r="F2" s="4"/>
      <x:c r="G2" s="4"/>
      <x:c r="H2" s="4"/>
    </x:row>
    <x:row r="3" ht="19" customHeight="1">
      <x:c r="A3" s="5" t="str">
        <x:v>Source: versioned synthetic operating records. Full populations are in the accompanying CSV and SQLite files.</x:v>
      </x:c>
      <x:c r="B3" s="1"/>
      <x:c r="C3" s="1"/>
      <x:c r="D3" s="1"/>
      <x:c r="E3" s="1"/>
      <x:c r="F3" s="1"/>
      <x:c r="G3" s="1"/>
      <x:c r="H3" s="1"/>
    </x:row>
    <x:row r="4" ht="19" customHeight="1">
      <x:c r="A4" s="6" t="str">
        <x:v>Content: edd301ad6c9d319532dfd9ae79ecdbfd5456fa73aeec8e61da1ca6f9279317ac</x:v>
      </x:c>
      <x:c r="B4" s="1"/>
      <x:c r="C4" s="1"/>
      <x:c r="D4" s="1"/>
      <x:c r="E4" s="1"/>
      <x:c r="F4" s="1"/>
      <x:c r="G4" s="1"/>
      <x:c r="H4" s="1"/>
    </x:row>
    <x:row r="5" ht="36" customHeight="1">
      <x:c r="A5" s="11" t="str">
        <x:v>Scenario</x:v>
      </x:c>
      <x:c r="B5" s="11" t="str">
        <x:v>Business</x:v>
      </x:c>
      <x:c r="C5" s="11" t="str">
        <x:v>Control</x:v>
      </x:c>
      <x:c r="D5" s="11" t="str">
        <x:v>Scheduled</x:v>
      </x:c>
      <x:c r="E5" s="11" t="str">
        <x:v>Passed</x:v>
      </x:c>
      <x:c r="F5" s="11" t="str">
        <x:v>Failed</x:v>
      </x:c>
      <x:c r="G5" s="11" t="str">
        <x:v>Not run</x:v>
      </x:c>
      <x:c r="H5" s="11" t="str">
        <x:v>Difference</x:v>
      </x:c>
    </x:row>
    <x:row r="6" ht="19" customHeight="1">
      <x:c r="A6" s="1" t="str">
        <x:v>base</x:v>
      </x:c>
      <x:c r="B6" s="1" t="str">
        <x:v>advisory</x:v>
      </x:c>
      <x:c r="C6" s="1" t="str">
        <x:v>LC-ADVISORY-VALUE</x:v>
      </x:c>
      <x:c r="D6" s="12" t="n">
        <x:v>60</x:v>
      </x:c>
      <x:c r="E6" s="12" t="n">
        <x:v>4</x:v>
      </x:c>
      <x:c r="F6" s="12" t="n">
        <x:v>0</x:v>
      </x:c>
      <x:c r="G6" s="12" t="n">
        <x:v>56</x:v>
      </x:c>
      <x:c r="H6" s="14" t="n">
        <x:f>D6-SUM(E6:G6)</x:f>
        <x:v>0</x:v>
      </x:c>
    </x:row>
    <x:row r="7" ht="19" customHeight="1">
      <x:c r="A7" s="1" t="str">
        <x:v>base</x:v>
      </x:c>
      <x:c r="B7" s="1" t="str">
        <x:v>advisory</x:v>
      </x:c>
      <x:c r="C7" s="1" t="str">
        <x:v>LC-ATLAS</x:v>
      </x:c>
      <x:c r="D7" s="12" t="n">
        <x:v>60</x:v>
      </x:c>
      <x:c r="E7" s="12" t="n">
        <x:v>60</x:v>
      </x:c>
      <x:c r="F7" s="12" t="n">
        <x:v>0</x:v>
      </x:c>
      <x:c r="G7" s="12" t="n">
        <x:v>0</x:v>
      </x:c>
      <x:c r="H7" s="14" t="n">
        <x:f>D7-SUM(E7:G7)</x:f>
        <x:v>0</x:v>
      </x:c>
    </x:row>
    <x:row r="8" ht="19" customHeight="1">
      <x:c r="A8" s="1" t="str">
        <x:v>base</x:v>
      </x:c>
      <x:c r="B8" s="1" t="str">
        <x:v>advisory</x:v>
      </x:c>
      <x:c r="C8" s="1" t="str">
        <x:v>LC-CONSOLIDATION</x:v>
      </x:c>
      <x:c r="D8" s="12" t="n">
        <x:v>60</x:v>
      </x:c>
      <x:c r="E8" s="12" t="n">
        <x:v>60</x:v>
      </x:c>
      <x:c r="F8" s="12" t="n">
        <x:v>0</x:v>
      </x:c>
      <x:c r="G8" s="12" t="n">
        <x:v>0</x:v>
      </x:c>
      <x:c r="H8" s="14" t="n">
        <x:f>D8-SUM(E8:G8)</x:f>
        <x:v>0</x:v>
      </x:c>
    </x:row>
    <x:row r="9" ht="19" customHeight="1">
      <x:c r="A9" s="1" t="str">
        <x:v>base</x:v>
      </x:c>
      <x:c r="B9" s="1" t="str">
        <x:v>advisory</x:v>
      </x:c>
      <x:c r="C9" s="1" t="str">
        <x:v>LC-CREDIT</x:v>
      </x:c>
      <x:c r="D9" s="12" t="n">
        <x:v>60</x:v>
      </x:c>
      <x:c r="E9" s="12" t="n">
        <x:v>59</x:v>
      </x:c>
      <x:c r="F9" s="12" t="n">
        <x:v>0</x:v>
      </x:c>
      <x:c r="G9" s="12" t="n">
        <x:v>1</x:v>
      </x:c>
      <x:c r="H9" s="14" t="n">
        <x:f>D9-SUM(E9:G9)</x:f>
        <x:v>0</x:v>
      </x:c>
    </x:row>
    <x:row r="10" ht="19" customHeight="1">
      <x:c r="A10" s="1" t="str">
        <x:v>base</x:v>
      </x:c>
      <x:c r="B10" s="1" t="str">
        <x:v>advisory</x:v>
      </x:c>
      <x:c r="C10" s="1" t="str">
        <x:v>LC-ESTIMATE</x:v>
      </x:c>
      <x:c r="D10" s="12" t="n">
        <x:v>60</x:v>
      </x:c>
      <x:c r="E10" s="12" t="n">
        <x:v>60</x:v>
      </x:c>
      <x:c r="F10" s="12" t="n">
        <x:v>0</x:v>
      </x:c>
      <x:c r="G10" s="12" t="n">
        <x:v>0</x:v>
      </x:c>
      <x:c r="H10" s="14" t="n">
        <x:f>D10-SUM(E10:G10)</x:f>
        <x:v>0</x:v>
      </x:c>
    </x:row>
    <x:row r="11" ht="19" customHeight="1">
      <x:c r="A11" s="1" t="str">
        <x:v>base</x:v>
      </x:c>
      <x:c r="B11" s="1" t="str">
        <x:v>advisory</x:v>
      </x:c>
      <x:c r="C11" s="1" t="str">
        <x:v>LC-REVENUE</x:v>
      </x:c>
      <x:c r="D11" s="12" t="n">
        <x:v>60</x:v>
      </x:c>
      <x:c r="E11" s="12" t="n">
        <x:v>59</x:v>
      </x:c>
      <x:c r="F11" s="12" t="n">
        <x:v>1</x:v>
      </x:c>
      <x:c r="G11" s="12" t="n">
        <x:v>0</x:v>
      </x:c>
      <x:c r="H11" s="14" t="n">
        <x:f>D11-SUM(E11:G11)</x:f>
        <x:v>0</x:v>
      </x:c>
    </x:row>
    <x:row r="12" ht="19" customHeight="1">
      <x:c r="A12" s="1" t="str">
        <x:v>base</x:v>
      </x:c>
      <x:c r="B12" s="1" t="str">
        <x:v>advisory</x:v>
      </x:c>
      <x:c r="C12" s="1" t="str">
        <x:v>LC-WORKFORCE</x:v>
      </x:c>
      <x:c r="D12" s="12" t="n">
        <x:v>60</x:v>
      </x:c>
      <x:c r="E12" s="12" t="n">
        <x:v>60</x:v>
      </x:c>
      <x:c r="F12" s="12" t="n">
        <x:v>0</x:v>
      </x:c>
      <x:c r="G12" s="12" t="n">
        <x:v>0</x:v>
      </x:c>
      <x:c r="H12" s="14" t="n">
        <x:f>D12-SUM(E12:G12)</x:f>
        <x:v>0</x:v>
      </x:c>
    </x:row>
    <x:row r="13" ht="19" customHeight="1">
      <x:c r="A13" s="1" t="str">
        <x:v>base</x:v>
      </x:c>
      <x:c r="B13" s="1" t="str">
        <x:v>american-resource-utility</x:v>
      </x:c>
      <x:c r="C13" s="1" t="str">
        <x:v>LC-CONSOLIDATION</x:v>
      </x:c>
      <x:c r="D13" s="12" t="n">
        <x:v>60</x:v>
      </x:c>
      <x:c r="E13" s="12" t="n">
        <x:v>60</x:v>
      </x:c>
      <x:c r="F13" s="12" t="n">
        <x:v>0</x:v>
      </x:c>
      <x:c r="G13" s="12" t="n">
        <x:v>0</x:v>
      </x:c>
      <x:c r="H13" s="14" t="n">
        <x:f>D13-SUM(E13:G13)</x:f>
        <x:v>0</x:v>
      </x:c>
    </x:row>
    <x:row r="14" ht="19" customHeight="1">
      <x:c r="A14" s="1" t="str">
        <x:v>base</x:v>
      </x:c>
      <x:c r="B14" s="1" t="str">
        <x:v>american-resource-utility</x:v>
      </x:c>
      <x:c r="C14" s="1" t="str">
        <x:v>LC-CREDIT</x:v>
      </x:c>
      <x:c r="D14" s="12" t="n">
        <x:v>60</x:v>
      </x:c>
      <x:c r="E14" s="12" t="n">
        <x:v>0</x:v>
      </x:c>
      <x:c r="F14" s="12" t="n">
        <x:v>0</x:v>
      </x:c>
      <x:c r="G14" s="12" t="n">
        <x:v>60</x:v>
      </x:c>
      <x:c r="H14" s="14" t="n">
        <x:f>D14-SUM(E14:G14)</x:f>
        <x:v>0</x:v>
      </x:c>
    </x:row>
    <x:row r="15" ht="19" customHeight="1">
      <x:c r="A15" s="1" t="str">
        <x:v>base</x:v>
      </x:c>
      <x:c r="B15" s="1" t="str">
        <x:v>american-resource-utility</x:v>
      </x:c>
      <x:c r="C15" s="1" t="str">
        <x:v>LC-ESTIMATE</x:v>
      </x:c>
      <x:c r="D15" s="12" t="n">
        <x:v>60</x:v>
      </x:c>
      <x:c r="E15" s="12" t="n">
        <x:v>0</x:v>
      </x:c>
      <x:c r="F15" s="12" t="n">
        <x:v>0</x:v>
      </x:c>
      <x:c r="G15" s="12" t="n">
        <x:v>60</x:v>
      </x:c>
      <x:c r="H15" s="14" t="n">
        <x:f>D15-SUM(E15:G15)</x:f>
        <x:v>0</x:v>
      </x:c>
    </x:row>
    <x:row r="16" ht="19" customHeight="1">
      <x:c r="A16" s="1" t="str">
        <x:v>base</x:v>
      </x:c>
      <x:c r="B16" s="1" t="str">
        <x:v>american-resource-utility</x:v>
      </x:c>
      <x:c r="C16" s="1" t="str">
        <x:v>LC-INDUSTRIAL</x:v>
      </x:c>
      <x:c r="D16" s="12" t="n">
        <x:v>60</x:v>
      </x:c>
      <x:c r="E16" s="12" t="n">
        <x:v>0</x:v>
      </x:c>
      <x:c r="F16" s="12" t="n">
        <x:v>60</x:v>
      </x:c>
      <x:c r="G16" s="12" t="n">
        <x:v>0</x:v>
      </x:c>
      <x:c r="H16" s="14" t="n">
        <x:f>D16-SUM(E16:G16)</x:f>
        <x:v>0</x:v>
      </x:c>
    </x:row>
    <x:row r="17" ht="19" customHeight="1">
      <x:c r="A17" s="1" t="str">
        <x:v>base</x:v>
      </x:c>
      <x:c r="B17" s="1" t="str">
        <x:v>american-resource-utility</x:v>
      </x:c>
      <x:c r="C17" s="1" t="str">
        <x:v>LC-WORKFORCE</x:v>
      </x:c>
      <x:c r="D17" s="12" t="n">
        <x:v>60</x:v>
      </x:c>
      <x:c r="E17" s="12" t="n">
        <x:v>0</x:v>
      </x:c>
      <x:c r="F17" s="12" t="n">
        <x:v>0</x:v>
      </x:c>
      <x:c r="G17" s="12" t="n">
        <x:v>60</x:v>
      </x:c>
      <x:c r="H17" s="14" t="n">
        <x:f>D17-SUM(E17:G17)</x:f>
        <x:v>0</x:v>
      </x:c>
    </x:row>
    <x:row r="18" ht="19" customHeight="1">
      <x:c r="A18" s="1" t="str">
        <x:v>base</x:v>
      </x:c>
      <x:c r="B18" s="1" t="str">
        <x:v>atlas-meridian</x:v>
      </x:c>
      <x:c r="C18" s="1" t="str">
        <x:v>LC-ATLAS</x:v>
      </x:c>
      <x:c r="D18" s="12" t="n">
        <x:v>60</x:v>
      </x:c>
      <x:c r="E18" s="12" t="n">
        <x:v>0</x:v>
      </x:c>
      <x:c r="F18" s="12" t="n">
        <x:v>0</x:v>
      </x:c>
      <x:c r="G18" s="12" t="n">
        <x:v>60</x:v>
      </x:c>
      <x:c r="H18" s="14" t="n">
        <x:f>D18-SUM(E18:G18)</x:f>
        <x:v>0</x:v>
      </x:c>
    </x:row>
    <x:row r="19" ht="19" customHeight="1">
      <x:c r="A19" s="1" t="str">
        <x:v>base</x:v>
      </x:c>
      <x:c r="B19" s="1" t="str">
        <x:v>atlas-meridian</x:v>
      </x:c>
      <x:c r="C19" s="1" t="str">
        <x:v>LC-CONSOLIDATION</x:v>
      </x:c>
      <x:c r="D19" s="12" t="n">
        <x:v>60</x:v>
      </x:c>
      <x:c r="E19" s="12" t="n">
        <x:v>60</x:v>
      </x:c>
      <x:c r="F19" s="12" t="n">
        <x:v>0</x:v>
      </x:c>
      <x:c r="G19" s="12" t="n">
        <x:v>0</x:v>
      </x:c>
      <x:c r="H19" s="14" t="n">
        <x:f>D19-SUM(E19:G19)</x:f>
        <x:v>0</x:v>
      </x:c>
    </x:row>
    <x:row r="20" ht="19" customHeight="1">
      <x:c r="A20" s="1" t="str">
        <x:v>base</x:v>
      </x:c>
      <x:c r="B20" s="1" t="str">
        <x:v>atlas-meridian</x:v>
      </x:c>
      <x:c r="C20" s="1" t="str">
        <x:v>LC-CREDIT</x:v>
      </x:c>
      <x:c r="D20" s="12" t="n">
        <x:v>60</x:v>
      </x:c>
      <x:c r="E20" s="12" t="n">
        <x:v>59</x:v>
      </x:c>
      <x:c r="F20" s="12" t="n">
        <x:v>0</x:v>
      </x:c>
      <x:c r="G20" s="12" t="n">
        <x:v>1</x:v>
      </x:c>
      <x:c r="H20" s="14" t="n">
        <x:f>D20-SUM(E20:G20)</x:f>
        <x:v>0</x:v>
      </x:c>
    </x:row>
    <x:row r="21" ht="19" customHeight="1">
      <x:c r="A21" s="1" t="str">
        <x:v>base</x:v>
      </x:c>
      <x:c r="B21" s="1" t="str">
        <x:v>atlas-meridian</x:v>
      </x:c>
      <x:c r="C21" s="1" t="str">
        <x:v>LC-ESTIMATE</x:v>
      </x:c>
      <x:c r="D21" s="12" t="n">
        <x:v>60</x:v>
      </x:c>
      <x:c r="E21" s="12" t="n">
        <x:v>60</x:v>
      </x:c>
      <x:c r="F21" s="12" t="n">
        <x:v>0</x:v>
      </x:c>
      <x:c r="G21" s="12" t="n">
        <x:v>0</x:v>
      </x:c>
      <x:c r="H21" s="14" t="n">
        <x:f>D21-SUM(E21:G21)</x:f>
        <x:v>0</x:v>
      </x:c>
    </x:row>
    <x:row r="22" ht="19" customHeight="1">
      <x:c r="A22" s="1" t="str">
        <x:v>base</x:v>
      </x:c>
      <x:c r="B22" s="1" t="str">
        <x:v>atlas-meridian</x:v>
      </x:c>
      <x:c r="C22" s="1" t="str">
        <x:v>LC-REVENUE</x:v>
      </x:c>
      <x:c r="D22" s="12" t="n">
        <x:v>60</x:v>
      </x:c>
      <x:c r="E22" s="12" t="n">
        <x:v>60</x:v>
      </x:c>
      <x:c r="F22" s="12" t="n">
        <x:v>0</x:v>
      </x:c>
      <x:c r="G22" s="12" t="n">
        <x:v>0</x:v>
      </x:c>
      <x:c r="H22" s="14" t="n">
        <x:f>D22-SUM(E22:G22)</x:f>
        <x:v>0</x:v>
      </x:c>
    </x:row>
    <x:row r="23" ht="19" customHeight="1">
      <x:c r="A23" s="1" t="str">
        <x:v>base</x:v>
      </x:c>
      <x:c r="B23" s="1" t="str">
        <x:v>atlas-meridian</x:v>
      </x:c>
      <x:c r="C23" s="1" t="str">
        <x:v>LC-WORKFORCE</x:v>
      </x:c>
      <x:c r="D23" s="12" t="n">
        <x:v>60</x:v>
      </x:c>
      <x:c r="E23" s="12" t="n">
        <x:v>60</x:v>
      </x:c>
      <x:c r="F23" s="12" t="n">
        <x:v>0</x:v>
      </x:c>
      <x:c r="G23" s="12" t="n">
        <x:v>0</x:v>
      </x:c>
      <x:c r="H23" s="14" t="n">
        <x:f>D23-SUM(E23:G23)</x:f>
        <x:v>0</x:v>
      </x:c>
    </x:row>
    <x:row r="24" ht="19" customHeight="1">
      <x:c r="A24" s="1" t="str">
        <x:v>base</x:v>
      </x:c>
      <x:c r="B24" s="1" t="str">
        <x:v>corporate</x:v>
      </x:c>
      <x:c r="C24" s="1" t="str">
        <x:v>LC-CONSOLIDATION</x:v>
      </x:c>
      <x:c r="D24" s="12" t="n">
        <x:v>60</x:v>
      </x:c>
      <x:c r="E24" s="12" t="n">
        <x:v>60</x:v>
      </x:c>
      <x:c r="F24" s="12" t="n">
        <x:v>0</x:v>
      </x:c>
      <x:c r="G24" s="12" t="n">
        <x:v>0</x:v>
      </x:c>
      <x:c r="H24" s="14" t="n">
        <x:f>D24-SUM(E24:G24)</x:f>
        <x:v>0</x:v>
      </x:c>
    </x:row>
    <x:row r="25" ht="19" customHeight="1">
      <x:c r="A25" s="1" t="str">
        <x:v>base</x:v>
      </x:c>
      <x:c r="B25" s="1" t="str">
        <x:v>corporate</x:v>
      </x:c>
      <x:c r="C25" s="1" t="str">
        <x:v>LC-ESTIMATE</x:v>
      </x:c>
      <x:c r="D25" s="12" t="n">
        <x:v>60</x:v>
      </x:c>
      <x:c r="E25" s="12" t="n">
        <x:v>60</x:v>
      </x:c>
      <x:c r="F25" s="12" t="n">
        <x:v>0</x:v>
      </x:c>
      <x:c r="G25" s="12" t="n">
        <x:v>0</x:v>
      </x:c>
      <x:c r="H25" s="14" t="n">
        <x:f>D25-SUM(E25:G25)</x:f>
        <x:v>0</x:v>
      </x:c>
    </x:row>
    <x:row r="26" ht="19" customHeight="1">
      <x:c r="A26" s="1" t="str">
        <x:v>base</x:v>
      </x:c>
      <x:c r="B26" s="1" t="str">
        <x:v>corporate</x:v>
      </x:c>
      <x:c r="C26" s="1" t="str">
        <x:v>LC-WORKFORCE</x:v>
      </x:c>
      <x:c r="D26" s="12" t="n">
        <x:v>60</x:v>
      </x:c>
      <x:c r="E26" s="12" t="n">
        <x:v>60</x:v>
      </x:c>
      <x:c r="F26" s="12" t="n">
        <x:v>0</x:v>
      </x:c>
      <x:c r="G26" s="12" t="n">
        <x:v>0</x:v>
      </x:c>
      <x:c r="H26" s="14" t="n">
        <x:f>D26-SUM(E26:G26)</x:f>
        <x:v>0</x:v>
      </x:c>
    </x:row>
    <x:row r="27" ht="19" customHeight="1">
      <x:c r="A27" s="1" t="str">
        <x:v>base</x:v>
      </x:c>
      <x:c r="B27" s="1" t="str">
        <x:v>foundry-field</x:v>
      </x:c>
      <x:c r="C27" s="1" t="str">
        <x:v>LC-CONSOLIDATION</x:v>
      </x:c>
      <x:c r="D27" s="12" t="n">
        <x:v>60</x:v>
      </x:c>
      <x:c r="E27" s="12" t="n">
        <x:v>60</x:v>
      </x:c>
      <x:c r="F27" s="12" t="n">
        <x:v>0</x:v>
      </x:c>
      <x:c r="G27" s="12" t="n">
        <x:v>0</x:v>
      </x:c>
      <x:c r="H27" s="14" t="n">
        <x:f>D27-SUM(E27:G27)</x:f>
        <x:v>0</x:v>
      </x:c>
    </x:row>
    <x:row r="28" ht="19" customHeight="1">
      <x:c r="A28" s="1" t="str">
        <x:v>base</x:v>
      </x:c>
      <x:c r="B28" s="1" t="str">
        <x:v>foundry-field</x:v>
      </x:c>
      <x:c r="C28" s="1" t="str">
        <x:v>LC-CREDIT</x:v>
      </x:c>
      <x:c r="D28" s="12" t="n">
        <x:v>60</x:v>
      </x:c>
      <x:c r="E28" s="12" t="n">
        <x:v>33</x:v>
      </x:c>
      <x:c r="F28" s="12" t="n">
        <x:v>0</x:v>
      </x:c>
      <x:c r="G28" s="12" t="n">
        <x:v>27</x:v>
      </x:c>
      <x:c r="H28" s="14" t="n">
        <x:f>D28-SUM(E28:G28)</x:f>
        <x:v>0</x:v>
      </x:c>
    </x:row>
    <x:row r="29" ht="19" customHeight="1">
      <x:c r="A29" s="1" t="str">
        <x:v>base</x:v>
      </x:c>
      <x:c r="B29" s="1" t="str">
        <x:v>foundry-field</x:v>
      </x:c>
      <x:c r="C29" s="1" t="str">
        <x:v>LC-ESTIMATE</x:v>
      </x:c>
      <x:c r="D29" s="12" t="n">
        <x:v>60</x:v>
      </x:c>
      <x:c r="E29" s="12" t="n">
        <x:v>60</x:v>
      </x:c>
      <x:c r="F29" s="12" t="n">
        <x:v>0</x:v>
      </x:c>
      <x:c r="G29" s="12" t="n">
        <x:v>0</x:v>
      </x:c>
      <x:c r="H29" s="14" t="n">
        <x:f>D29-SUM(E29:G29)</x:f>
        <x:v>0</x:v>
      </x:c>
    </x:row>
    <x:row r="30" ht="19" customHeight="1">
      <x:c r="A30" s="1" t="str">
        <x:v>base</x:v>
      </x:c>
      <x:c r="B30" s="1" t="str">
        <x:v>foundry-field</x:v>
      </x:c>
      <x:c r="C30" s="1" t="str">
        <x:v>LC-REVENUE</x:v>
      </x:c>
      <x:c r="D30" s="12" t="n">
        <x:v>60</x:v>
      </x:c>
      <x:c r="E30" s="12" t="n">
        <x:v>60</x:v>
      </x:c>
      <x:c r="F30" s="12" t="n">
        <x:v>0</x:v>
      </x:c>
      <x:c r="G30" s="12" t="n">
        <x:v>0</x:v>
      </x:c>
      <x:c r="H30" s="14" t="n">
        <x:f>D30-SUM(E30:G30)</x:f>
        <x:v>0</x:v>
      </x:c>
    </x:row>
    <x:row r="31" ht="19" customHeight="1">
      <x:c r="A31" s="1" t="str">
        <x:v>base</x:v>
      </x:c>
      <x:c r="B31" s="1" t="str">
        <x:v>foundry-field</x:v>
      </x:c>
      <x:c r="C31" s="1" t="str">
        <x:v>LC-TRANSFER</x:v>
      </x:c>
      <x:c r="D31" s="12" t="n">
        <x:v>60</x:v>
      </x:c>
      <x:c r="E31" s="12" t="n">
        <x:v>0</x:v>
      </x:c>
      <x:c r="F31" s="12" t="n">
        <x:v>0</x:v>
      </x:c>
      <x:c r="G31" s="12" t="n">
        <x:v>60</x:v>
      </x:c>
      <x:c r="H31" s="14" t="n">
        <x:f>D31-SUM(E31:G31)</x:f>
        <x:v>0</x:v>
      </x:c>
    </x:row>
    <x:row r="32" ht="19" customHeight="1">
      <x:c r="A32" s="1" t="str">
        <x:v>base</x:v>
      </x:c>
      <x:c r="B32" s="1" t="str">
        <x:v>foundry-field</x:v>
      </x:c>
      <x:c r="C32" s="1" t="str">
        <x:v>LC-WORKFORCE</x:v>
      </x:c>
      <x:c r="D32" s="12" t="n">
        <x:v>60</x:v>
      </x:c>
      <x:c r="E32" s="12" t="n">
        <x:v>60</x:v>
      </x:c>
      <x:c r="F32" s="12" t="n">
        <x:v>0</x:v>
      </x:c>
      <x:c r="G32" s="12" t="n">
        <x:v>0</x:v>
      </x:c>
      <x:c r="H32" s="14" t="n">
        <x:f>D32-SUM(E32:G32)</x:f>
        <x:v>0</x:v>
      </x:c>
    </x:row>
    <x:row r="33" ht="19" customHeight="1">
      <x:c r="A33" s="1" t="str">
        <x:v>base</x:v>
      </x:c>
      <x:c r="B33" s="1" t="str">
        <x:v>pale-sun</x:v>
      </x:c>
      <x:c r="C33" s="1" t="str">
        <x:v>LC-CONSOLIDATION</x:v>
      </x:c>
      <x:c r="D33" s="12" t="n">
        <x:v>60</x:v>
      </x:c>
      <x:c r="E33" s="12" t="n">
        <x:v>60</x:v>
      </x:c>
      <x:c r="F33" s="12" t="n">
        <x:v>0</x:v>
      </x:c>
      <x:c r="G33" s="12" t="n">
        <x:v>0</x:v>
      </x:c>
      <x:c r="H33" s="14" t="n">
        <x:f>D33-SUM(E33:G33)</x:f>
        <x:v>0</x:v>
      </x:c>
    </x:row>
    <x:row r="34" ht="19" customHeight="1">
      <x:c r="A34" s="1" t="str">
        <x:v>base</x:v>
      </x:c>
      <x:c r="B34" s="1" t="str">
        <x:v>pale-sun</x:v>
      </x:c>
      <x:c r="C34" s="1" t="str">
        <x:v>LC-CREDIT</x:v>
      </x:c>
      <x:c r="D34" s="12" t="n">
        <x:v>60</x:v>
      </x:c>
      <x:c r="E34" s="12" t="n">
        <x:v>0</x:v>
      </x:c>
      <x:c r="F34" s="12" t="n">
        <x:v>0</x:v>
      </x:c>
      <x:c r="G34" s="12" t="n">
        <x:v>60</x:v>
      </x:c>
      <x:c r="H34" s="14" t="n">
        <x:f>D34-SUM(E34:G34)</x:f>
        <x:v>0</x:v>
      </x:c>
    </x:row>
    <x:row r="35" ht="19" customHeight="1">
      <x:c r="A35" s="1" t="str">
        <x:v>base</x:v>
      </x:c>
      <x:c r="B35" s="1" t="str">
        <x:v>pale-sun</x:v>
      </x:c>
      <x:c r="C35" s="1" t="str">
        <x:v>LC-ESTIMATE</x:v>
      </x:c>
      <x:c r="D35" s="12" t="n">
        <x:v>60</x:v>
      </x:c>
      <x:c r="E35" s="12" t="n">
        <x:v>0</x:v>
      </x:c>
      <x:c r="F35" s="12" t="n">
        <x:v>0</x:v>
      </x:c>
      <x:c r="G35" s="12" t="n">
        <x:v>60</x:v>
      </x:c>
      <x:c r="H35" s="14" t="n">
        <x:f>D35-SUM(E35:G35)</x:f>
        <x:v>0</x:v>
      </x:c>
    </x:row>
    <x:row r="36" ht="19" customHeight="1">
      <x:c r="A36" s="1" t="str">
        <x:v>base</x:v>
      </x:c>
      <x:c r="B36" s="1" t="str">
        <x:v>pale-sun</x:v>
      </x:c>
      <x:c r="C36" s="1" t="str">
        <x:v>LC-INDUSTRIAL</x:v>
      </x:c>
      <x:c r="D36" s="12" t="n">
        <x:v>60</x:v>
      </x:c>
      <x:c r="E36" s="12" t="n">
        <x:v>0</x:v>
      </x:c>
      <x:c r="F36" s="12" t="n">
        <x:v>0</x:v>
      </x:c>
      <x:c r="G36" s="12" t="n">
        <x:v>60</x:v>
      </x:c>
      <x:c r="H36" s="14" t="n">
        <x:f>D36-SUM(E36:G36)</x:f>
        <x:v>0</x:v>
      </x:c>
    </x:row>
    <x:row r="37" ht="19" customHeight="1">
      <x:c r="A37" s="1" t="str">
        <x:v>base</x:v>
      </x:c>
      <x:c r="B37" s="1" t="str">
        <x:v>pale-sun</x:v>
      </x:c>
      <x:c r="C37" s="1" t="str">
        <x:v>LC-WORKFORCE</x:v>
      </x:c>
      <x:c r="D37" s="12" t="n">
        <x:v>60</x:v>
      </x:c>
      <x:c r="E37" s="12" t="n">
        <x:v>0</x:v>
      </x:c>
      <x:c r="F37" s="12" t="n">
        <x:v>0</x:v>
      </x:c>
      <x:c r="G37" s="12" t="n">
        <x:v>60</x:v>
      </x:c>
      <x:c r="H37" s="14" t="n">
        <x:f>D37-SUM(E37:G37)</x:f>
        <x:v>0</x:v>
      </x:c>
    </x:row>
    <x:row r="38" ht="19" customHeight="1">
      <x:c r="A38" s="1" t="str">
        <x:v>base</x:v>
      </x:c>
      <x:c r="B38" s="1" t="str">
        <x:v>project-cradle</x:v>
      </x:c>
      <x:c r="C38" s="1" t="str">
        <x:v>LC-CONSOLIDATION</x:v>
      </x:c>
      <x:c r="D38" s="12" t="n">
        <x:v>60</x:v>
      </x:c>
      <x:c r="E38" s="12" t="n">
        <x:v>60</x:v>
      </x:c>
      <x:c r="F38" s="12" t="n">
        <x:v>0</x:v>
      </x:c>
      <x:c r="G38" s="12" t="n">
        <x:v>0</x:v>
      </x:c>
      <x:c r="H38" s="14" t="n">
        <x:f>D38-SUM(E38:G38)</x:f>
        <x:v>0</x:v>
      </x:c>
    </x:row>
    <x:row r="39" ht="19" customHeight="1">
      <x:c r="A39" s="1" t="str">
        <x:v>base</x:v>
      </x:c>
      <x:c r="B39" s="1" t="str">
        <x:v>project-cradle</x:v>
      </x:c>
      <x:c r="C39" s="1" t="str">
        <x:v>LC-CREDIT</x:v>
      </x:c>
      <x:c r="D39" s="12" t="n">
        <x:v>60</x:v>
      </x:c>
      <x:c r="E39" s="12" t="n">
        <x:v>58</x:v>
      </x:c>
      <x:c r="F39" s="12" t="n">
        <x:v>0</x:v>
      </x:c>
      <x:c r="G39" s="12" t="n">
        <x:v>2</x:v>
      </x:c>
      <x:c r="H39" s="14" t="n">
        <x:f>D39-SUM(E39:G39)</x:f>
        <x:v>0</x:v>
      </x:c>
    </x:row>
    <x:row r="40" ht="19" customHeight="1">
      <x:c r="A40" s="1" t="str">
        <x:v>base</x:v>
      </x:c>
      <x:c r="B40" s="1" t="str">
        <x:v>project-cradle</x:v>
      </x:c>
      <x:c r="C40" s="1" t="str">
        <x:v>LC-ESTIMATE</x:v>
      </x:c>
      <x:c r="D40" s="12" t="n">
        <x:v>60</x:v>
      </x:c>
      <x:c r="E40" s="12" t="n">
        <x:v>60</x:v>
      </x:c>
      <x:c r="F40" s="12" t="n">
        <x:v>0</x:v>
      </x:c>
      <x:c r="G40" s="12" t="n">
        <x:v>0</x:v>
      </x:c>
      <x:c r="H40" s="14" t="n">
        <x:f>D40-SUM(E40:G40)</x:f>
        <x:v>0</x:v>
      </x:c>
    </x:row>
    <x:row r="41" ht="19" customHeight="1">
      <x:c r="A41" s="1" t="str">
        <x:v>base</x:v>
      </x:c>
      <x:c r="B41" s="1" t="str">
        <x:v>project-cradle</x:v>
      </x:c>
      <x:c r="C41" s="1" t="str">
        <x:v>LC-RECOVERY</x:v>
      </x:c>
      <x:c r="D41" s="12" t="n">
        <x:v>60</x:v>
      </x:c>
      <x:c r="E41" s="12" t="n">
        <x:v>60</x:v>
      </x:c>
      <x:c r="F41" s="12" t="n">
        <x:v>0</x:v>
      </x:c>
      <x:c r="G41" s="12" t="n">
        <x:v>0</x:v>
      </x:c>
      <x:c r="H41" s="14" t="n">
        <x:f>D41-SUM(E41:G41)</x:f>
        <x:v>0</x:v>
      </x:c>
    </x:row>
    <x:row r="42" ht="19" customHeight="1">
      <x:c r="A42" s="1" t="str">
        <x:v>base</x:v>
      </x:c>
      <x:c r="B42" s="1" t="str">
        <x:v>project-cradle</x:v>
      </x:c>
      <x:c r="C42" s="1" t="str">
        <x:v>LC-TRANSFER</x:v>
      </x:c>
      <x:c r="D42" s="12" t="n">
        <x:v>60</x:v>
      </x:c>
      <x:c r="E42" s="12" t="n">
        <x:v>0</x:v>
      </x:c>
      <x:c r="F42" s="12" t="n">
        <x:v>0</x:v>
      </x:c>
      <x:c r="G42" s="12" t="n">
        <x:v>60</x:v>
      </x:c>
      <x:c r="H42" s="14" t="n">
        <x:f>D42-SUM(E42:G42)</x:f>
        <x:v>0</x:v>
      </x:c>
    </x:row>
    <x:row r="43" ht="19" customHeight="1">
      <x:c r="A43" s="1" t="str">
        <x:v>base</x:v>
      </x:c>
      <x:c r="B43" s="1" t="str">
        <x:v>project-cradle</x:v>
      </x:c>
      <x:c r="C43" s="1" t="str">
        <x:v>LC-WORKFORCE</x:v>
      </x:c>
      <x:c r="D43" s="12" t="n">
        <x:v>60</x:v>
      </x:c>
      <x:c r="E43" s="12" t="n">
        <x:v>60</x:v>
      </x:c>
      <x:c r="F43" s="12" t="n">
        <x:v>0</x:v>
      </x:c>
      <x:c r="G43" s="12" t="n">
        <x:v>0</x:v>
      </x:c>
      <x:c r="H43" s="14" t="n">
        <x:f>D43-SUM(E43:G43)</x:f>
        <x:v>0</x:v>
      </x:c>
    </x:row>
    <x:row r="44" ht="19" customHeight="1">
      <x:c r="A44" s="1" t="str">
        <x:v>base</x:v>
      </x:c>
      <x:c r="B44" s="1" t="str">
        <x:v>willow</x:v>
      </x:c>
      <x:c r="C44" s="1" t="str">
        <x:v>LC-CONSOLIDATION</x:v>
      </x:c>
      <x:c r="D44" s="12" t="n">
        <x:v>60</x:v>
      </x:c>
      <x:c r="E44" s="12" t="n">
        <x:v>60</x:v>
      </x:c>
      <x:c r="F44" s="12" t="n">
        <x:v>0</x:v>
      </x:c>
      <x:c r="G44" s="12" t="n">
        <x:v>0</x:v>
      </x:c>
      <x:c r="H44" s="14" t="n">
        <x:f>D44-SUM(E44:G44)</x:f>
        <x:v>0</x:v>
      </x:c>
    </x:row>
    <x:row r="45" ht="19" customHeight="1">
      <x:c r="A45" s="1" t="str">
        <x:v>base</x:v>
      </x:c>
      <x:c r="B45" s="1" t="str">
        <x:v>willow</x:v>
      </x:c>
      <x:c r="C45" s="1" t="str">
        <x:v>LC-ESTIMATE</x:v>
      </x:c>
      <x:c r="D45" s="12" t="n">
        <x:v>60</x:v>
      </x:c>
      <x:c r="E45" s="12" t="n">
        <x:v>60</x:v>
      </x:c>
      <x:c r="F45" s="12" t="n">
        <x:v>0</x:v>
      </x:c>
      <x:c r="G45" s="12" t="n">
        <x:v>0</x:v>
      </x:c>
      <x:c r="H45" s="14" t="n">
        <x:f>D45-SUM(E45:G45)</x:f>
        <x:v>0</x:v>
      </x:c>
    </x:row>
    <x:row r="46" ht="19" customHeight="1">
      <x:c r="A46" s="1" t="str">
        <x:v>base</x:v>
      </x:c>
      <x:c r="B46" s="1" t="str">
        <x:v>willow</x:v>
      </x:c>
      <x:c r="C46" s="1" t="str">
        <x:v>LC-TRANSFER</x:v>
      </x:c>
      <x:c r="D46" s="12" t="n">
        <x:v>60</x:v>
      </x:c>
      <x:c r="E46" s="12" t="n">
        <x:v>6</x:v>
      </x:c>
      <x:c r="F46" s="12" t="n">
        <x:v>0</x:v>
      </x:c>
      <x:c r="G46" s="12" t="n">
        <x:v>54</x:v>
      </x:c>
      <x:c r="H46" s="14" t="n">
        <x:f>D46-SUM(E46:G46)</x:f>
        <x:v>0</x:v>
      </x:c>
    </x:row>
    <x:row r="47" ht="19" customHeight="1">
      <x:c r="A47" s="1" t="str">
        <x:v>base</x:v>
      </x:c>
      <x:c r="B47" s="1" t="str">
        <x:v>willow</x:v>
      </x:c>
      <x:c r="C47" s="1" t="str">
        <x:v>LC-WORKFORCE</x:v>
      </x:c>
      <x:c r="D47" s="12" t="n">
        <x:v>60</x:v>
      </x:c>
      <x:c r="E47" s="12" t="n">
        <x:v>60</x:v>
      </x:c>
      <x:c r="F47" s="12" t="n">
        <x:v>0</x:v>
      </x:c>
      <x:c r="G47" s="12" t="n">
        <x:v>0</x:v>
      </x:c>
      <x:c r="H47" s="14" t="n">
        <x:f>D47-SUM(E47:G47)</x:f>
        <x:v>0</x:v>
      </x:c>
    </x:row>
    <x:row r="48" ht="19" customHeight="1">
      <x:c r="A48" s="1" t="str">
        <x:v>downside</x:v>
      </x:c>
      <x:c r="B48" s="1" t="str">
        <x:v>advisory</x:v>
      </x:c>
      <x:c r="C48" s="1" t="str">
        <x:v>LC-ADVISORY-VALUE</x:v>
      </x:c>
      <x:c r="D48" s="12" t="n">
        <x:v>60</x:v>
      </x:c>
      <x:c r="E48" s="12" t="n">
        <x:v>2</x:v>
      </x:c>
      <x:c r="F48" s="12" t="n">
        <x:v>0</x:v>
      </x:c>
      <x:c r="G48" s="12" t="n">
        <x:v>58</x:v>
      </x:c>
      <x:c r="H48" s="14" t="n">
        <x:f>D48-SUM(E48:G48)</x:f>
        <x:v>0</x:v>
      </x:c>
    </x:row>
    <x:row r="49" ht="19" customHeight="1">
      <x:c r="A49" s="1" t="str">
        <x:v>downside</x:v>
      </x:c>
      <x:c r="B49" s="1" t="str">
        <x:v>advisory</x:v>
      </x:c>
      <x:c r="C49" s="1" t="str">
        <x:v>LC-ATLAS</x:v>
      </x:c>
      <x:c r="D49" s="12" t="n">
        <x:v>60</x:v>
      </x:c>
      <x:c r="E49" s="12" t="n">
        <x:v>60</x:v>
      </x:c>
      <x:c r="F49" s="12" t="n">
        <x:v>0</x:v>
      </x:c>
      <x:c r="G49" s="12" t="n">
        <x:v>0</x:v>
      </x:c>
      <x:c r="H49" s="14" t="n">
        <x:f>D49-SUM(E49:G49)</x:f>
        <x:v>0</x:v>
      </x:c>
    </x:row>
    <x:row r="50" ht="19" customHeight="1">
      <x:c r="A50" s="1" t="str">
        <x:v>downside</x:v>
      </x:c>
      <x:c r="B50" s="1" t="str">
        <x:v>advisory</x:v>
      </x:c>
      <x:c r="C50" s="1" t="str">
        <x:v>LC-CONSOLIDATION</x:v>
      </x:c>
      <x:c r="D50" s="12" t="n">
        <x:v>60</x:v>
      </x:c>
      <x:c r="E50" s="12" t="n">
        <x:v>60</x:v>
      </x:c>
      <x:c r="F50" s="12" t="n">
        <x:v>0</x:v>
      </x:c>
      <x:c r="G50" s="12" t="n">
        <x:v>0</x:v>
      </x:c>
      <x:c r="H50" s="14" t="n">
        <x:f>D50-SUM(E50:G50)</x:f>
        <x:v>0</x:v>
      </x:c>
    </x:row>
    <x:row r="51" ht="19" customHeight="1">
      <x:c r="A51" s="1" t="str">
        <x:v>downside</x:v>
      </x:c>
      <x:c r="B51" s="1" t="str">
        <x:v>advisory</x:v>
      </x:c>
      <x:c r="C51" s="1" t="str">
        <x:v>LC-CREDIT</x:v>
      </x:c>
      <x:c r="D51" s="12" t="n">
        <x:v>60</x:v>
      </x:c>
      <x:c r="E51" s="12" t="n">
        <x:v>57</x:v>
      </x:c>
      <x:c r="F51" s="12" t="n">
        <x:v>0</x:v>
      </x:c>
      <x:c r="G51" s="12" t="n">
        <x:v>3</x:v>
      </x:c>
      <x:c r="H51" s="14" t="n">
        <x:f>D51-SUM(E51:G51)</x:f>
        <x:v>0</x:v>
      </x:c>
    </x:row>
    <x:row r="52" ht="19" customHeight="1">
      <x:c r="A52" s="1" t="str">
        <x:v>downside</x:v>
      </x:c>
      <x:c r="B52" s="1" t="str">
        <x:v>advisory</x:v>
      </x:c>
      <x:c r="C52" s="1" t="str">
        <x:v>LC-ESTIMATE</x:v>
      </x:c>
      <x:c r="D52" s="12" t="n">
        <x:v>60</x:v>
      </x:c>
      <x:c r="E52" s="12" t="n">
        <x:v>60</x:v>
      </x:c>
      <x:c r="F52" s="12" t="n">
        <x:v>0</x:v>
      </x:c>
      <x:c r="G52" s="12" t="n">
        <x:v>0</x:v>
      </x:c>
      <x:c r="H52" s="14" t="n">
        <x:f>D52-SUM(E52:G52)</x:f>
        <x:v>0</x:v>
      </x:c>
    </x:row>
    <x:row r="53" ht="19" customHeight="1">
      <x:c r="A53" s="1" t="str">
        <x:v>downside</x:v>
      </x:c>
      <x:c r="B53" s="1" t="str">
        <x:v>advisory</x:v>
      </x:c>
      <x:c r="C53" s="1" t="str">
        <x:v>LC-REVENUE</x:v>
      </x:c>
      <x:c r="D53" s="12" t="n">
        <x:v>60</x:v>
      </x:c>
      <x:c r="E53" s="12" t="n">
        <x:v>60</x:v>
      </x:c>
      <x:c r="F53" s="12" t="n">
        <x:v>0</x:v>
      </x:c>
      <x:c r="G53" s="12" t="n">
        <x:v>0</x:v>
      </x:c>
      <x:c r="H53" s="14" t="n">
        <x:f>D53-SUM(E53:G53)</x:f>
        <x:v>0</x:v>
      </x:c>
    </x:row>
    <x:row r="54" ht="19" customHeight="1">
      <x:c r="A54" s="1" t="str">
        <x:v>downside</x:v>
      </x:c>
      <x:c r="B54" s="1" t="str">
        <x:v>advisory</x:v>
      </x:c>
      <x:c r="C54" s="1" t="str">
        <x:v>LC-WORKFORCE</x:v>
      </x:c>
      <x:c r="D54" s="12" t="n">
        <x:v>60</x:v>
      </x:c>
      <x:c r="E54" s="12" t="n">
        <x:v>60</x:v>
      </x:c>
      <x:c r="F54" s="12" t="n">
        <x:v>0</x:v>
      </x:c>
      <x:c r="G54" s="12" t="n">
        <x:v>0</x:v>
      </x:c>
      <x:c r="H54" s="14" t="n">
        <x:f>D54-SUM(E54:G54)</x:f>
        <x:v>0</x:v>
      </x:c>
    </x:row>
    <x:row r="55" ht="19" customHeight="1">
      <x:c r="A55" s="1" t="str">
        <x:v>downside</x:v>
      </x:c>
      <x:c r="B55" s="1" t="str">
        <x:v>american-resource-utility</x:v>
      </x:c>
      <x:c r="C55" s="1" t="str">
        <x:v>LC-CONSOLIDATION</x:v>
      </x:c>
      <x:c r="D55" s="12" t="n">
        <x:v>60</x:v>
      </x:c>
      <x:c r="E55" s="12" t="n">
        <x:v>60</x:v>
      </x:c>
      <x:c r="F55" s="12" t="n">
        <x:v>0</x:v>
      </x:c>
      <x:c r="G55" s="12" t="n">
        <x:v>0</x:v>
      </x:c>
      <x:c r="H55" s="14" t="n">
        <x:f>D55-SUM(E55:G55)</x:f>
        <x:v>0</x:v>
      </x:c>
    </x:row>
    <x:row r="56" ht="19" customHeight="1">
      <x:c r="A56" s="1" t="str">
        <x:v>downside</x:v>
      </x:c>
      <x:c r="B56" s="1" t="str">
        <x:v>american-resource-utility</x:v>
      </x:c>
      <x:c r="C56" s="1" t="str">
        <x:v>LC-CREDIT</x:v>
      </x:c>
      <x:c r="D56" s="12" t="n">
        <x:v>60</x:v>
      </x:c>
      <x:c r="E56" s="12" t="n">
        <x:v>0</x:v>
      </x:c>
      <x:c r="F56" s="12" t="n">
        <x:v>0</x:v>
      </x:c>
      <x:c r="G56" s="12" t="n">
        <x:v>60</x:v>
      </x:c>
      <x:c r="H56" s="14" t="n">
        <x:f>D56-SUM(E56:G56)</x:f>
        <x:v>0</x:v>
      </x:c>
    </x:row>
    <x:row r="57" ht="19" customHeight="1">
      <x:c r="A57" s="1" t="str">
        <x:v>downside</x:v>
      </x:c>
      <x:c r="B57" s="1" t="str">
        <x:v>american-resource-utility</x:v>
      </x:c>
      <x:c r="C57" s="1" t="str">
        <x:v>LC-ESTIMATE</x:v>
      </x:c>
      <x:c r="D57" s="12" t="n">
        <x:v>60</x:v>
      </x:c>
      <x:c r="E57" s="12" t="n">
        <x:v>0</x:v>
      </x:c>
      <x:c r="F57" s="12" t="n">
        <x:v>0</x:v>
      </x:c>
      <x:c r="G57" s="12" t="n">
        <x:v>60</x:v>
      </x:c>
      <x:c r="H57" s="14" t="n">
        <x:f>D57-SUM(E57:G57)</x:f>
        <x:v>0</x:v>
      </x:c>
    </x:row>
    <x:row r="58" ht="19" customHeight="1">
      <x:c r="A58" s="1" t="str">
        <x:v>downside</x:v>
      </x:c>
      <x:c r="B58" s="1" t="str">
        <x:v>american-resource-utility</x:v>
      </x:c>
      <x:c r="C58" s="1" t="str">
        <x:v>LC-INDUSTRIAL</x:v>
      </x:c>
      <x:c r="D58" s="12" t="n">
        <x:v>60</x:v>
      </x:c>
      <x:c r="E58" s="12" t="n">
        <x:v>0</x:v>
      </x:c>
      <x:c r="F58" s="12" t="n">
        <x:v>60</x:v>
      </x:c>
      <x:c r="G58" s="12" t="n">
        <x:v>0</x:v>
      </x:c>
      <x:c r="H58" s="14" t="n">
        <x:f>D58-SUM(E58:G58)</x:f>
        <x:v>0</x:v>
      </x:c>
    </x:row>
    <x:row r="59" ht="19" customHeight="1">
      <x:c r="A59" s="1" t="str">
        <x:v>downside</x:v>
      </x:c>
      <x:c r="B59" s="1" t="str">
        <x:v>american-resource-utility</x:v>
      </x:c>
      <x:c r="C59" s="1" t="str">
        <x:v>LC-WORKFORCE</x:v>
      </x:c>
      <x:c r="D59" s="12" t="n">
        <x:v>60</x:v>
      </x:c>
      <x:c r="E59" s="12" t="n">
        <x:v>0</x:v>
      </x:c>
      <x:c r="F59" s="12" t="n">
        <x:v>0</x:v>
      </x:c>
      <x:c r="G59" s="12" t="n">
        <x:v>60</x:v>
      </x:c>
      <x:c r="H59" s="14" t="n">
        <x:f>D59-SUM(E59:G59)</x:f>
        <x:v>0</x:v>
      </x:c>
    </x:row>
    <x:row r="60" ht="19" customHeight="1">
      <x:c r="A60" s="1" t="str">
        <x:v>downside</x:v>
      </x:c>
      <x:c r="B60" s="1" t="str">
        <x:v>atlas-meridian</x:v>
      </x:c>
      <x:c r="C60" s="1" t="str">
        <x:v>LC-ATLAS</x:v>
      </x:c>
      <x:c r="D60" s="12" t="n">
        <x:v>60</x:v>
      </x:c>
      <x:c r="E60" s="12" t="n">
        <x:v>0</x:v>
      </x:c>
      <x:c r="F60" s="12" t="n">
        <x:v>0</x:v>
      </x:c>
      <x:c r="G60" s="12" t="n">
        <x:v>60</x:v>
      </x:c>
      <x:c r="H60" s="14" t="n">
        <x:f>D60-SUM(E60:G60)</x:f>
        <x:v>0</x:v>
      </x:c>
    </x:row>
    <x:row r="61" ht="19" customHeight="1">
      <x:c r="A61" s="1" t="str">
        <x:v>downside</x:v>
      </x:c>
      <x:c r="B61" s="1" t="str">
        <x:v>atlas-meridian</x:v>
      </x:c>
      <x:c r="C61" s="1" t="str">
        <x:v>LC-CONSOLIDATION</x:v>
      </x:c>
      <x:c r="D61" s="12" t="n">
        <x:v>60</x:v>
      </x:c>
      <x:c r="E61" s="12" t="n">
        <x:v>60</x:v>
      </x:c>
      <x:c r="F61" s="12" t="n">
        <x:v>0</x:v>
      </x:c>
      <x:c r="G61" s="12" t="n">
        <x:v>0</x:v>
      </x:c>
      <x:c r="H61" s="14" t="n">
        <x:f>D61-SUM(E61:G61)</x:f>
        <x:v>0</x:v>
      </x:c>
    </x:row>
    <x:row r="62" ht="19" customHeight="1">
      <x:c r="A62" s="1" t="str">
        <x:v>downside</x:v>
      </x:c>
      <x:c r="B62" s="1" t="str">
        <x:v>atlas-meridian</x:v>
      </x:c>
      <x:c r="C62" s="1" t="str">
        <x:v>LC-CREDIT</x:v>
      </x:c>
      <x:c r="D62" s="12" t="n">
        <x:v>60</x:v>
      </x:c>
      <x:c r="E62" s="12" t="n">
        <x:v>53</x:v>
      </x:c>
      <x:c r="F62" s="12" t="n">
        <x:v>0</x:v>
      </x:c>
      <x:c r="G62" s="12" t="n">
        <x:v>7</x:v>
      </x:c>
      <x:c r="H62" s="14" t="n">
        <x:f>D62-SUM(E62:G62)</x:f>
        <x:v>0</x:v>
      </x:c>
    </x:row>
    <x:row r="63" ht="19" customHeight="1">
      <x:c r="A63" s="1" t="str">
        <x:v>downside</x:v>
      </x:c>
      <x:c r="B63" s="1" t="str">
        <x:v>atlas-meridian</x:v>
      </x:c>
      <x:c r="C63" s="1" t="str">
        <x:v>LC-ESTIMATE</x:v>
      </x:c>
      <x:c r="D63" s="12" t="n">
        <x:v>60</x:v>
      </x:c>
      <x:c r="E63" s="12" t="n">
        <x:v>60</x:v>
      </x:c>
      <x:c r="F63" s="12" t="n">
        <x:v>0</x:v>
      </x:c>
      <x:c r="G63" s="12" t="n">
        <x:v>0</x:v>
      </x:c>
      <x:c r="H63" s="14" t="n">
        <x:f>D63-SUM(E63:G63)</x:f>
        <x:v>0</x:v>
      </x:c>
    </x:row>
    <x:row r="64" ht="19" customHeight="1">
      <x:c r="A64" s="1" t="str">
        <x:v>downside</x:v>
      </x:c>
      <x:c r="B64" s="1" t="str">
        <x:v>atlas-meridian</x:v>
      </x:c>
      <x:c r="C64" s="1" t="str">
        <x:v>LC-REVENUE</x:v>
      </x:c>
      <x:c r="D64" s="12" t="n">
        <x:v>60</x:v>
      </x:c>
      <x:c r="E64" s="12" t="n">
        <x:v>60</x:v>
      </x:c>
      <x:c r="F64" s="12" t="n">
        <x:v>0</x:v>
      </x:c>
      <x:c r="G64" s="12" t="n">
        <x:v>0</x:v>
      </x:c>
      <x:c r="H64" s="14" t="n">
        <x:f>D64-SUM(E64:G64)</x:f>
        <x:v>0</x:v>
      </x:c>
    </x:row>
    <x:row r="65" ht="19" customHeight="1">
      <x:c r="A65" s="1" t="str">
        <x:v>downside</x:v>
      </x:c>
      <x:c r="B65" s="1" t="str">
        <x:v>atlas-meridian</x:v>
      </x:c>
      <x:c r="C65" s="1" t="str">
        <x:v>LC-WORKFORCE</x:v>
      </x:c>
      <x:c r="D65" s="12" t="n">
        <x:v>60</x:v>
      </x:c>
      <x:c r="E65" s="12" t="n">
        <x:v>60</x:v>
      </x:c>
      <x:c r="F65" s="12" t="n">
        <x:v>0</x:v>
      </x:c>
      <x:c r="G65" s="12" t="n">
        <x:v>0</x:v>
      </x:c>
      <x:c r="H65" s="14" t="n">
        <x:f>D65-SUM(E65:G65)</x:f>
        <x:v>0</x:v>
      </x:c>
    </x:row>
    <x:row r="66" ht="19" customHeight="1">
      <x:c r="A66" s="1" t="str">
        <x:v>downside</x:v>
      </x:c>
      <x:c r="B66" s="1" t="str">
        <x:v>corporate</x:v>
      </x:c>
      <x:c r="C66" s="1" t="str">
        <x:v>LC-CONSOLIDATION</x:v>
      </x:c>
      <x:c r="D66" s="12" t="n">
        <x:v>60</x:v>
      </x:c>
      <x:c r="E66" s="12" t="n">
        <x:v>60</x:v>
      </x:c>
      <x:c r="F66" s="12" t="n">
        <x:v>0</x:v>
      </x:c>
      <x:c r="G66" s="12" t="n">
        <x:v>0</x:v>
      </x:c>
      <x:c r="H66" s="14" t="n">
        <x:f>D66-SUM(E66:G66)</x:f>
        <x:v>0</x:v>
      </x:c>
    </x:row>
    <x:row r="67" ht="19" customHeight="1">
      <x:c r="A67" s="1" t="str">
        <x:v>downside</x:v>
      </x:c>
      <x:c r="B67" s="1" t="str">
        <x:v>corporate</x:v>
      </x:c>
      <x:c r="C67" s="1" t="str">
        <x:v>LC-ESTIMATE</x:v>
      </x:c>
      <x:c r="D67" s="12" t="n">
        <x:v>60</x:v>
      </x:c>
      <x:c r="E67" s="12" t="n">
        <x:v>60</x:v>
      </x:c>
      <x:c r="F67" s="12" t="n">
        <x:v>0</x:v>
      </x:c>
      <x:c r="G67" s="12" t="n">
        <x:v>0</x:v>
      </x:c>
      <x:c r="H67" s="14" t="n">
        <x:f>D67-SUM(E67:G67)</x:f>
        <x:v>0</x:v>
      </x:c>
    </x:row>
    <x:row r="68" ht="19" customHeight="1">
      <x:c r="A68" s="1" t="str">
        <x:v>downside</x:v>
      </x:c>
      <x:c r="B68" s="1" t="str">
        <x:v>corporate</x:v>
      </x:c>
      <x:c r="C68" s="1" t="str">
        <x:v>LC-WORKFORCE</x:v>
      </x:c>
      <x:c r="D68" s="12" t="n">
        <x:v>60</x:v>
      </x:c>
      <x:c r="E68" s="12" t="n">
        <x:v>60</x:v>
      </x:c>
      <x:c r="F68" s="12" t="n">
        <x:v>0</x:v>
      </x:c>
      <x:c r="G68" s="12" t="n">
        <x:v>0</x:v>
      </x:c>
      <x:c r="H68" s="14" t="n">
        <x:f>D68-SUM(E68:G68)</x:f>
        <x:v>0</x:v>
      </x:c>
    </x:row>
    <x:row r="69" ht="19" customHeight="1">
      <x:c r="A69" s="1" t="str">
        <x:v>downside</x:v>
      </x:c>
      <x:c r="B69" s="1" t="str">
        <x:v>foundry-field</x:v>
      </x:c>
      <x:c r="C69" s="1" t="str">
        <x:v>LC-CONSOLIDATION</x:v>
      </x:c>
      <x:c r="D69" s="12" t="n">
        <x:v>60</x:v>
      </x:c>
      <x:c r="E69" s="12" t="n">
        <x:v>60</x:v>
      </x:c>
      <x:c r="F69" s="12" t="n">
        <x:v>0</x:v>
      </x:c>
      <x:c r="G69" s="12" t="n">
        <x:v>0</x:v>
      </x:c>
      <x:c r="H69" s="14" t="n">
        <x:f>D69-SUM(E69:G69)</x:f>
        <x:v>0</x:v>
      </x:c>
    </x:row>
    <x:row r="70" ht="19" customHeight="1">
      <x:c r="A70" s="1" t="str">
        <x:v>downside</x:v>
      </x:c>
      <x:c r="B70" s="1" t="str">
        <x:v>foundry-field</x:v>
      </x:c>
      <x:c r="C70" s="1" t="str">
        <x:v>LC-CREDIT</x:v>
      </x:c>
      <x:c r="D70" s="12" t="n">
        <x:v>60</x:v>
      </x:c>
      <x:c r="E70" s="12" t="n">
        <x:v>26</x:v>
      </x:c>
      <x:c r="F70" s="12" t="n">
        <x:v>0</x:v>
      </x:c>
      <x:c r="G70" s="12" t="n">
        <x:v>34</x:v>
      </x:c>
      <x:c r="H70" s="14" t="n">
        <x:f>D70-SUM(E70:G70)</x:f>
        <x:v>0</x:v>
      </x:c>
    </x:row>
    <x:row r="71" ht="19" customHeight="1">
      <x:c r="A71" s="1" t="str">
        <x:v>downside</x:v>
      </x:c>
      <x:c r="B71" s="1" t="str">
        <x:v>foundry-field</x:v>
      </x:c>
      <x:c r="C71" s="1" t="str">
        <x:v>LC-ESTIMATE</x:v>
      </x:c>
      <x:c r="D71" s="12" t="n">
        <x:v>60</x:v>
      </x:c>
      <x:c r="E71" s="12" t="n">
        <x:v>60</x:v>
      </x:c>
      <x:c r="F71" s="12" t="n">
        <x:v>0</x:v>
      </x:c>
      <x:c r="G71" s="12" t="n">
        <x:v>0</x:v>
      </x:c>
      <x:c r="H71" s="14" t="n">
        <x:f>D71-SUM(E71:G71)</x:f>
        <x:v>0</x:v>
      </x:c>
    </x:row>
    <x:row r="72" ht="19" customHeight="1">
      <x:c r="A72" s="1" t="str">
        <x:v>downside</x:v>
      </x:c>
      <x:c r="B72" s="1" t="str">
        <x:v>foundry-field</x:v>
      </x:c>
      <x:c r="C72" s="1" t="str">
        <x:v>LC-REVENUE</x:v>
      </x:c>
      <x:c r="D72" s="12" t="n">
        <x:v>60</x:v>
      </x:c>
      <x:c r="E72" s="12" t="n">
        <x:v>60</x:v>
      </x:c>
      <x:c r="F72" s="12" t="n">
        <x:v>0</x:v>
      </x:c>
      <x:c r="G72" s="12" t="n">
        <x:v>0</x:v>
      </x:c>
      <x:c r="H72" s="14" t="n">
        <x:f>D72-SUM(E72:G72)</x:f>
        <x:v>0</x:v>
      </x:c>
    </x:row>
    <x:row r="73" ht="19" customHeight="1">
      <x:c r="A73" s="1" t="str">
        <x:v>downside</x:v>
      </x:c>
      <x:c r="B73" s="1" t="str">
        <x:v>foundry-field</x:v>
      </x:c>
      <x:c r="C73" s="1" t="str">
        <x:v>LC-TRANSFER</x:v>
      </x:c>
      <x:c r="D73" s="12" t="n">
        <x:v>60</x:v>
      </x:c>
      <x:c r="E73" s="12" t="n">
        <x:v>0</x:v>
      </x:c>
      <x:c r="F73" s="12" t="n">
        <x:v>0</x:v>
      </x:c>
      <x:c r="G73" s="12" t="n">
        <x:v>60</x:v>
      </x:c>
      <x:c r="H73" s="14" t="n">
        <x:f>D73-SUM(E73:G73)</x:f>
        <x:v>0</x:v>
      </x:c>
    </x:row>
    <x:row r="74" ht="19" customHeight="1">
      <x:c r="A74" s="1" t="str">
        <x:v>downside</x:v>
      </x:c>
      <x:c r="B74" s="1" t="str">
        <x:v>foundry-field</x:v>
      </x:c>
      <x:c r="C74" s="1" t="str">
        <x:v>LC-WORKFORCE</x:v>
      </x:c>
      <x:c r="D74" s="12" t="n">
        <x:v>60</x:v>
      </x:c>
      <x:c r="E74" s="12" t="n">
        <x:v>60</x:v>
      </x:c>
      <x:c r="F74" s="12" t="n">
        <x:v>0</x:v>
      </x:c>
      <x:c r="G74" s="12" t="n">
        <x:v>0</x:v>
      </x:c>
      <x:c r="H74" s="14" t="n">
        <x:f>D74-SUM(E74:G74)</x:f>
        <x:v>0</x:v>
      </x:c>
    </x:row>
    <x:row r="75" ht="19" customHeight="1">
      <x:c r="A75" s="1" t="str">
        <x:v>downside</x:v>
      </x:c>
      <x:c r="B75" s="1" t="str">
        <x:v>pale-sun</x:v>
      </x:c>
      <x:c r="C75" s="1" t="str">
        <x:v>LC-CONSOLIDATION</x:v>
      </x:c>
      <x:c r="D75" s="12" t="n">
        <x:v>60</x:v>
      </x:c>
      <x:c r="E75" s="12" t="n">
        <x:v>60</x:v>
      </x:c>
      <x:c r="F75" s="12" t="n">
        <x:v>0</x:v>
      </x:c>
      <x:c r="G75" s="12" t="n">
        <x:v>0</x:v>
      </x:c>
      <x:c r="H75" s="14" t="n">
        <x:f>D75-SUM(E75:G75)</x:f>
        <x:v>0</x:v>
      </x:c>
    </x:row>
    <x:row r="76" ht="19" customHeight="1">
      <x:c r="A76" s="1" t="str">
        <x:v>downside</x:v>
      </x:c>
      <x:c r="B76" s="1" t="str">
        <x:v>pale-sun</x:v>
      </x:c>
      <x:c r="C76" s="1" t="str">
        <x:v>LC-CREDIT</x:v>
      </x:c>
      <x:c r="D76" s="12" t="n">
        <x:v>60</x:v>
      </x:c>
      <x:c r="E76" s="12" t="n">
        <x:v>0</x:v>
      </x:c>
      <x:c r="F76" s="12" t="n">
        <x:v>0</x:v>
      </x:c>
      <x:c r="G76" s="12" t="n">
        <x:v>60</x:v>
      </x:c>
      <x:c r="H76" s="14" t="n">
        <x:f>D76-SUM(E76:G76)</x:f>
        <x:v>0</x:v>
      </x:c>
    </x:row>
    <x:row r="77" ht="19" customHeight="1">
      <x:c r="A77" s="1" t="str">
        <x:v>downside</x:v>
      </x:c>
      <x:c r="B77" s="1" t="str">
        <x:v>pale-sun</x:v>
      </x:c>
      <x:c r="C77" s="1" t="str">
        <x:v>LC-ESTIMATE</x:v>
      </x:c>
      <x:c r="D77" s="12" t="n">
        <x:v>60</x:v>
      </x:c>
      <x:c r="E77" s="12" t="n">
        <x:v>0</x:v>
      </x:c>
      <x:c r="F77" s="12" t="n">
        <x:v>0</x:v>
      </x:c>
      <x:c r="G77" s="12" t="n">
        <x:v>60</x:v>
      </x:c>
      <x:c r="H77" s="14" t="n">
        <x:f>D77-SUM(E77:G77)</x:f>
        <x:v>0</x:v>
      </x:c>
    </x:row>
    <x:row r="78" ht="19" customHeight="1">
      <x:c r="A78" s="1" t="str">
        <x:v>downside</x:v>
      </x:c>
      <x:c r="B78" s="1" t="str">
        <x:v>pale-sun</x:v>
      </x:c>
      <x:c r="C78" s="1" t="str">
        <x:v>LC-INDUSTRIAL</x:v>
      </x:c>
      <x:c r="D78" s="12" t="n">
        <x:v>60</x:v>
      </x:c>
      <x:c r="E78" s="12" t="n">
        <x:v>0</x:v>
      </x:c>
      <x:c r="F78" s="12" t="n">
        <x:v>0</x:v>
      </x:c>
      <x:c r="G78" s="12" t="n">
        <x:v>60</x:v>
      </x:c>
      <x:c r="H78" s="14" t="n">
        <x:f>D78-SUM(E78:G78)</x:f>
        <x:v>0</x:v>
      </x:c>
    </x:row>
    <x:row r="79" ht="19" customHeight="1">
      <x:c r="A79" s="1" t="str">
        <x:v>downside</x:v>
      </x:c>
      <x:c r="B79" s="1" t="str">
        <x:v>pale-sun</x:v>
      </x:c>
      <x:c r="C79" s="1" t="str">
        <x:v>LC-WORKFORCE</x:v>
      </x:c>
      <x:c r="D79" s="12" t="n">
        <x:v>60</x:v>
      </x:c>
      <x:c r="E79" s="12" t="n">
        <x:v>0</x:v>
      </x:c>
      <x:c r="F79" s="12" t="n">
        <x:v>0</x:v>
      </x:c>
      <x:c r="G79" s="12" t="n">
        <x:v>60</x:v>
      </x:c>
      <x:c r="H79" s="14" t="n">
        <x:f>D79-SUM(E79:G79)</x:f>
        <x:v>0</x:v>
      </x:c>
    </x:row>
    <x:row r="80" ht="19" customHeight="1">
      <x:c r="A80" s="1" t="str">
        <x:v>downside</x:v>
      </x:c>
      <x:c r="B80" s="1" t="str">
        <x:v>project-cradle</x:v>
      </x:c>
      <x:c r="C80" s="1" t="str">
        <x:v>LC-CONSOLIDATION</x:v>
      </x:c>
      <x:c r="D80" s="12" t="n">
        <x:v>60</x:v>
      </x:c>
      <x:c r="E80" s="12" t="n">
        <x:v>60</x:v>
      </x:c>
      <x:c r="F80" s="12" t="n">
        <x:v>0</x:v>
      </x:c>
      <x:c r="G80" s="12" t="n">
        <x:v>0</x:v>
      </x:c>
      <x:c r="H80" s="14" t="n">
        <x:f>D80-SUM(E80:G80)</x:f>
        <x:v>0</x:v>
      </x:c>
    </x:row>
    <x:row r="81" ht="19" customHeight="1">
      <x:c r="A81" s="1" t="str">
        <x:v>downside</x:v>
      </x:c>
      <x:c r="B81" s="1" t="str">
        <x:v>project-cradle</x:v>
      </x:c>
      <x:c r="C81" s="1" t="str">
        <x:v>LC-CREDIT</x:v>
      </x:c>
      <x:c r="D81" s="12" t="n">
        <x:v>60</x:v>
      </x:c>
      <x:c r="E81" s="12" t="n">
        <x:v>54</x:v>
      </x:c>
      <x:c r="F81" s="12" t="n">
        <x:v>0</x:v>
      </x:c>
      <x:c r="G81" s="12" t="n">
        <x:v>6</x:v>
      </x:c>
      <x:c r="H81" s="14" t="n">
        <x:f>D81-SUM(E81:G81)</x:f>
        <x:v>0</x:v>
      </x:c>
    </x:row>
    <x:row r="82" ht="19" customHeight="1">
      <x:c r="A82" s="1" t="str">
        <x:v>downside</x:v>
      </x:c>
      <x:c r="B82" s="1" t="str">
        <x:v>project-cradle</x:v>
      </x:c>
      <x:c r="C82" s="1" t="str">
        <x:v>LC-ESTIMATE</x:v>
      </x:c>
      <x:c r="D82" s="12" t="n">
        <x:v>60</x:v>
      </x:c>
      <x:c r="E82" s="12" t="n">
        <x:v>60</x:v>
      </x:c>
      <x:c r="F82" s="12" t="n">
        <x:v>0</x:v>
      </x:c>
      <x:c r="G82" s="12" t="n">
        <x:v>0</x:v>
      </x:c>
      <x:c r="H82" s="14" t="n">
        <x:f>D82-SUM(E82:G82)</x:f>
        <x:v>0</x:v>
      </x:c>
    </x:row>
    <x:row r="83" ht="19" customHeight="1">
      <x:c r="A83" s="1" t="str">
        <x:v>downside</x:v>
      </x:c>
      <x:c r="B83" s="1" t="str">
        <x:v>project-cradle</x:v>
      </x:c>
      <x:c r="C83" s="1" t="str">
        <x:v>LC-RECOVERY</x:v>
      </x:c>
      <x:c r="D83" s="12" t="n">
        <x:v>60</x:v>
      </x:c>
      <x:c r="E83" s="12" t="n">
        <x:v>60</x:v>
      </x:c>
      <x:c r="F83" s="12" t="n">
        <x:v>0</x:v>
      </x:c>
      <x:c r="G83" s="12" t="n">
        <x:v>0</x:v>
      </x:c>
      <x:c r="H83" s="14" t="n">
        <x:f>D83-SUM(E83:G83)</x:f>
        <x:v>0</x:v>
      </x:c>
    </x:row>
    <x:row r="84" ht="19" customHeight="1">
      <x:c r="A84" s="1" t="str">
        <x:v>downside</x:v>
      </x:c>
      <x:c r="B84" s="1" t="str">
        <x:v>project-cradle</x:v>
      </x:c>
      <x:c r="C84" s="1" t="str">
        <x:v>LC-TRANSFER</x:v>
      </x:c>
      <x:c r="D84" s="12" t="n">
        <x:v>60</x:v>
      </x:c>
      <x:c r="E84" s="12" t="n">
        <x:v>0</x:v>
      </x:c>
      <x:c r="F84" s="12" t="n">
        <x:v>0</x:v>
      </x:c>
      <x:c r="G84" s="12" t="n">
        <x:v>60</x:v>
      </x:c>
      <x:c r="H84" s="14" t="n">
        <x:f>D84-SUM(E84:G84)</x:f>
        <x:v>0</x:v>
      </x:c>
    </x:row>
    <x:row r="85" ht="19" customHeight="1">
      <x:c r="A85" s="1" t="str">
        <x:v>downside</x:v>
      </x:c>
      <x:c r="B85" s="1" t="str">
        <x:v>project-cradle</x:v>
      </x:c>
      <x:c r="C85" s="1" t="str">
        <x:v>LC-WORKFORCE</x:v>
      </x:c>
      <x:c r="D85" s="12" t="n">
        <x:v>60</x:v>
      </x:c>
      <x:c r="E85" s="12" t="n">
        <x:v>60</x:v>
      </x:c>
      <x:c r="F85" s="12" t="n">
        <x:v>0</x:v>
      </x:c>
      <x:c r="G85" s="12" t="n">
        <x:v>0</x:v>
      </x:c>
      <x:c r="H85" s="14" t="n">
        <x:f>D85-SUM(E85:G85)</x:f>
        <x:v>0</x:v>
      </x:c>
    </x:row>
    <x:row r="86" ht="19" customHeight="1">
      <x:c r="A86" s="1" t="str">
        <x:v>downside</x:v>
      </x:c>
      <x:c r="B86" s="1" t="str">
        <x:v>willow</x:v>
      </x:c>
      <x:c r="C86" s="1" t="str">
        <x:v>LC-CONSOLIDATION</x:v>
      </x:c>
      <x:c r="D86" s="12" t="n">
        <x:v>60</x:v>
      </x:c>
      <x:c r="E86" s="12" t="n">
        <x:v>60</x:v>
      </x:c>
      <x:c r="F86" s="12" t="n">
        <x:v>0</x:v>
      </x:c>
      <x:c r="G86" s="12" t="n">
        <x:v>0</x:v>
      </x:c>
      <x:c r="H86" s="14" t="n">
        <x:f>D86-SUM(E86:G86)</x:f>
        <x:v>0</x:v>
      </x:c>
    </x:row>
    <x:row r="87" ht="19" customHeight="1">
      <x:c r="A87" s="1" t="str">
        <x:v>downside</x:v>
      </x:c>
      <x:c r="B87" s="1" t="str">
        <x:v>willow</x:v>
      </x:c>
      <x:c r="C87" s="1" t="str">
        <x:v>LC-ESTIMATE</x:v>
      </x:c>
      <x:c r="D87" s="12" t="n">
        <x:v>60</x:v>
      </x:c>
      <x:c r="E87" s="12" t="n">
        <x:v>60</x:v>
      </x:c>
      <x:c r="F87" s="12" t="n">
        <x:v>0</x:v>
      </x:c>
      <x:c r="G87" s="12" t="n">
        <x:v>0</x:v>
      </x:c>
      <x:c r="H87" s="14" t="n">
        <x:f>D87-SUM(E87:G87)</x:f>
        <x:v>0</x:v>
      </x:c>
    </x:row>
    <x:row r="88" ht="19" customHeight="1">
      <x:c r="A88" s="1" t="str">
        <x:v>downside</x:v>
      </x:c>
      <x:c r="B88" s="1" t="str">
        <x:v>willow</x:v>
      </x:c>
      <x:c r="C88" s="1" t="str">
        <x:v>LC-TRANSFER</x:v>
      </x:c>
      <x:c r="D88" s="12" t="n">
        <x:v>60</x:v>
      </x:c>
      <x:c r="E88" s="12" t="n">
        <x:v>6</x:v>
      </x:c>
      <x:c r="F88" s="12" t="n">
        <x:v>0</x:v>
      </x:c>
      <x:c r="G88" s="12" t="n">
        <x:v>54</x:v>
      </x:c>
      <x:c r="H88" s="14" t="n">
        <x:f>D88-SUM(E88:G88)</x:f>
        <x:v>0</x:v>
      </x:c>
    </x:row>
    <x:row r="89" ht="19" customHeight="1">
      <x:c r="A89" s="1" t="str">
        <x:v>downside</x:v>
      </x:c>
      <x:c r="B89" s="1" t="str">
        <x:v>willow</x:v>
      </x:c>
      <x:c r="C89" s="1" t="str">
        <x:v>LC-WORKFORCE</x:v>
      </x:c>
      <x:c r="D89" s="12" t="n">
        <x:v>60</x:v>
      </x:c>
      <x:c r="E89" s="12" t="n">
        <x:v>60</x:v>
      </x:c>
      <x:c r="F89" s="12" t="n">
        <x:v>0</x:v>
      </x:c>
      <x:c r="G89" s="12" t="n">
        <x:v>0</x:v>
      </x:c>
      <x:c r="H89" s="14" t="n">
        <x:f>D89-SUM(E89:G89)</x:f>
        <x:v>0</x:v>
      </x:c>
    </x:row>
    <x:row r="90" ht="19" customHeight="1">
      <x:c r="A90" s="1" t="str">
        <x:v>expansion</x:v>
      </x:c>
      <x:c r="B90" s="1" t="str">
        <x:v>advisory</x:v>
      </x:c>
      <x:c r="C90" s="1" t="str">
        <x:v>LC-ADVISORY-VALUE</x:v>
      </x:c>
      <x:c r="D90" s="12" t="n">
        <x:v>60</x:v>
      </x:c>
      <x:c r="E90" s="12" t="n">
        <x:v>4</x:v>
      </x:c>
      <x:c r="F90" s="12" t="n">
        <x:v>0</x:v>
      </x:c>
      <x:c r="G90" s="12" t="n">
        <x:v>56</x:v>
      </x:c>
      <x:c r="H90" s="14" t="n">
        <x:f>D90-SUM(E90:G90)</x:f>
        <x:v>0</x:v>
      </x:c>
    </x:row>
    <x:row r="91" ht="19" customHeight="1">
      <x:c r="A91" s="1" t="str">
        <x:v>expansion</x:v>
      </x:c>
      <x:c r="B91" s="1" t="str">
        <x:v>advisory</x:v>
      </x:c>
      <x:c r="C91" s="1" t="str">
        <x:v>LC-ATLAS</x:v>
      </x:c>
      <x:c r="D91" s="12" t="n">
        <x:v>60</x:v>
      </x:c>
      <x:c r="E91" s="12" t="n">
        <x:v>60</x:v>
      </x:c>
      <x:c r="F91" s="12" t="n">
        <x:v>0</x:v>
      </x:c>
      <x:c r="G91" s="12" t="n">
        <x:v>0</x:v>
      </x:c>
      <x:c r="H91" s="14" t="n">
        <x:f>D91-SUM(E91:G91)</x:f>
        <x:v>0</x:v>
      </x:c>
    </x:row>
    <x:row r="92" ht="19" customHeight="1">
      <x:c r="A92" s="1" t="str">
        <x:v>expansion</x:v>
      </x:c>
      <x:c r="B92" s="1" t="str">
        <x:v>advisory</x:v>
      </x:c>
      <x:c r="C92" s="1" t="str">
        <x:v>LC-CONSOLIDATION</x:v>
      </x:c>
      <x:c r="D92" s="12" t="n">
        <x:v>60</x:v>
      </x:c>
      <x:c r="E92" s="12" t="n">
        <x:v>60</x:v>
      </x:c>
      <x:c r="F92" s="12" t="n">
        <x:v>0</x:v>
      </x:c>
      <x:c r="G92" s="12" t="n">
        <x:v>0</x:v>
      </x:c>
      <x:c r="H92" s="14" t="n">
        <x:f>D92-SUM(E92:G92)</x:f>
        <x:v>0</x:v>
      </x:c>
    </x:row>
    <x:row r="93" ht="19" customHeight="1">
      <x:c r="A93" s="1" t="str">
        <x:v>expansion</x:v>
      </x:c>
      <x:c r="B93" s="1" t="str">
        <x:v>advisory</x:v>
      </x:c>
      <x:c r="C93" s="1" t="str">
        <x:v>LC-CREDIT</x:v>
      </x:c>
      <x:c r="D93" s="12" t="n">
        <x:v>60</x:v>
      </x:c>
      <x:c r="E93" s="12" t="n">
        <x:v>59</x:v>
      </x:c>
      <x:c r="F93" s="12" t="n">
        <x:v>0</x:v>
      </x:c>
      <x:c r="G93" s="12" t="n">
        <x:v>1</x:v>
      </x:c>
      <x:c r="H93" s="14" t="n">
        <x:f>D93-SUM(E93:G93)</x:f>
        <x:v>0</x:v>
      </x:c>
    </x:row>
    <x:row r="94" ht="19" customHeight="1">
      <x:c r="A94" s="1" t="str">
        <x:v>expansion</x:v>
      </x:c>
      <x:c r="B94" s="1" t="str">
        <x:v>advisory</x:v>
      </x:c>
      <x:c r="C94" s="1" t="str">
        <x:v>LC-ESTIMATE</x:v>
      </x:c>
      <x:c r="D94" s="12" t="n">
        <x:v>60</x:v>
      </x:c>
      <x:c r="E94" s="12" t="n">
        <x:v>60</x:v>
      </x:c>
      <x:c r="F94" s="12" t="n">
        <x:v>0</x:v>
      </x:c>
      <x:c r="G94" s="12" t="n">
        <x:v>0</x:v>
      </x:c>
      <x:c r="H94" s="14" t="n">
        <x:f>D94-SUM(E94:G94)</x:f>
        <x:v>0</x:v>
      </x:c>
    </x:row>
    <x:row r="95" ht="19" customHeight="1">
      <x:c r="A95" s="1" t="str">
        <x:v>expansion</x:v>
      </x:c>
      <x:c r="B95" s="1" t="str">
        <x:v>advisory</x:v>
      </x:c>
      <x:c r="C95" s="1" t="str">
        <x:v>LC-REVENUE</x:v>
      </x:c>
      <x:c r="D95" s="12" t="n">
        <x:v>60</x:v>
      </x:c>
      <x:c r="E95" s="12" t="n">
        <x:v>60</x:v>
      </x:c>
      <x:c r="F95" s="12" t="n">
        <x:v>0</x:v>
      </x:c>
      <x:c r="G95" s="12" t="n">
        <x:v>0</x:v>
      </x:c>
      <x:c r="H95" s="14" t="n">
        <x:f>D95-SUM(E95:G95)</x:f>
        <x:v>0</x:v>
      </x:c>
    </x:row>
    <x:row r="96" ht="19" customHeight="1">
      <x:c r="A96" s="1" t="str">
        <x:v>expansion</x:v>
      </x:c>
      <x:c r="B96" s="1" t="str">
        <x:v>advisory</x:v>
      </x:c>
      <x:c r="C96" s="1" t="str">
        <x:v>LC-WORKFORCE</x:v>
      </x:c>
      <x:c r="D96" s="12" t="n">
        <x:v>60</x:v>
      </x:c>
      <x:c r="E96" s="12" t="n">
        <x:v>60</x:v>
      </x:c>
      <x:c r="F96" s="12" t="n">
        <x:v>0</x:v>
      </x:c>
      <x:c r="G96" s="12" t="n">
        <x:v>0</x:v>
      </x:c>
      <x:c r="H96" s="14" t="n">
        <x:f>D96-SUM(E96:G96)</x:f>
        <x:v>0</x:v>
      </x:c>
    </x:row>
    <x:row r="97" ht="19" customHeight="1">
      <x:c r="A97" s="1" t="str">
        <x:v>expansion</x:v>
      </x:c>
      <x:c r="B97" s="1" t="str">
        <x:v>american-resource-utility</x:v>
      </x:c>
      <x:c r="C97" s="1" t="str">
        <x:v>LC-CONSOLIDATION</x:v>
      </x:c>
      <x:c r="D97" s="12" t="n">
        <x:v>60</x:v>
      </x:c>
      <x:c r="E97" s="12" t="n">
        <x:v>60</x:v>
      </x:c>
      <x:c r="F97" s="12" t="n">
        <x:v>0</x:v>
      </x:c>
      <x:c r="G97" s="12" t="n">
        <x:v>0</x:v>
      </x:c>
      <x:c r="H97" s="14" t="n">
        <x:f>D97-SUM(E97:G97)</x:f>
        <x:v>0</x:v>
      </x:c>
    </x:row>
    <x:row r="98" ht="19" customHeight="1">
      <x:c r="A98" s="1" t="str">
        <x:v>expansion</x:v>
      </x:c>
      <x:c r="B98" s="1" t="str">
        <x:v>american-resource-utility</x:v>
      </x:c>
      <x:c r="C98" s="1" t="str">
        <x:v>LC-CREDIT</x:v>
      </x:c>
      <x:c r="D98" s="12" t="n">
        <x:v>60</x:v>
      </x:c>
      <x:c r="E98" s="12" t="n">
        <x:v>0</x:v>
      </x:c>
      <x:c r="F98" s="12" t="n">
        <x:v>0</x:v>
      </x:c>
      <x:c r="G98" s="12" t="n">
        <x:v>60</x:v>
      </x:c>
      <x:c r="H98" s="14" t="n">
        <x:f>D98-SUM(E98:G98)</x:f>
        <x:v>0</x:v>
      </x:c>
    </x:row>
    <x:row r="99" ht="19" customHeight="1">
      <x:c r="A99" s="1" t="str">
        <x:v>expansion</x:v>
      </x:c>
      <x:c r="B99" s="1" t="str">
        <x:v>american-resource-utility</x:v>
      </x:c>
      <x:c r="C99" s="1" t="str">
        <x:v>LC-ESTIMATE</x:v>
      </x:c>
      <x:c r="D99" s="12" t="n">
        <x:v>60</x:v>
      </x:c>
      <x:c r="E99" s="12" t="n">
        <x:v>0</x:v>
      </x:c>
      <x:c r="F99" s="12" t="n">
        <x:v>0</x:v>
      </x:c>
      <x:c r="G99" s="12" t="n">
        <x:v>60</x:v>
      </x:c>
      <x:c r="H99" s="14" t="n">
        <x:f>D99-SUM(E99:G99)</x:f>
        <x:v>0</x:v>
      </x:c>
    </x:row>
    <x:row r="100" ht="19" customHeight="1">
      <x:c r="A100" s="1" t="str">
        <x:v>expansion</x:v>
      </x:c>
      <x:c r="B100" s="1" t="str">
        <x:v>american-resource-utility</x:v>
      </x:c>
      <x:c r="C100" s="1" t="str">
        <x:v>LC-INDUSTRIAL</x:v>
      </x:c>
      <x:c r="D100" s="12" t="n">
        <x:v>60</x:v>
      </x:c>
      <x:c r="E100" s="12" t="n">
        <x:v>0</x:v>
      </x:c>
      <x:c r="F100" s="12" t="n">
        <x:v>60</x:v>
      </x:c>
      <x:c r="G100" s="12" t="n">
        <x:v>0</x:v>
      </x:c>
      <x:c r="H100" s="14" t="n">
        <x:f>D100-SUM(E100:G100)</x:f>
        <x:v>0</x:v>
      </x:c>
    </x:row>
    <x:row r="101" ht="19" customHeight="1">
      <x:c r="A101" s="1" t="str">
        <x:v>expansion</x:v>
      </x:c>
      <x:c r="B101" s="1" t="str">
        <x:v>american-resource-utility</x:v>
      </x:c>
      <x:c r="C101" s="1" t="str">
        <x:v>LC-WORKFORCE</x:v>
      </x:c>
      <x:c r="D101" s="12" t="n">
        <x:v>60</x:v>
      </x:c>
      <x:c r="E101" s="12" t="n">
        <x:v>0</x:v>
      </x:c>
      <x:c r="F101" s="12" t="n">
        <x:v>0</x:v>
      </x:c>
      <x:c r="G101" s="12" t="n">
        <x:v>60</x:v>
      </x:c>
      <x:c r="H101" s="14" t="n">
        <x:f>D101-SUM(E101:G101)</x:f>
        <x:v>0</x:v>
      </x:c>
    </x:row>
    <x:row r="102" ht="19" customHeight="1">
      <x:c r="A102" s="1" t="str">
        <x:v>expansion</x:v>
      </x:c>
      <x:c r="B102" s="1" t="str">
        <x:v>atlas-meridian</x:v>
      </x:c>
      <x:c r="C102" s="1" t="str">
        <x:v>LC-ATLAS</x:v>
      </x:c>
      <x:c r="D102" s="12" t="n">
        <x:v>60</x:v>
      </x:c>
      <x:c r="E102" s="12" t="n">
        <x:v>0</x:v>
      </x:c>
      <x:c r="F102" s="12" t="n">
        <x:v>0</x:v>
      </x:c>
      <x:c r="G102" s="12" t="n">
        <x:v>60</x:v>
      </x:c>
      <x:c r="H102" s="14" t="n">
        <x:f>D102-SUM(E102:G102)</x:f>
        <x:v>0</x:v>
      </x:c>
    </x:row>
    <x:row r="103" ht="19" customHeight="1">
      <x:c r="A103" s="1" t="str">
        <x:v>expansion</x:v>
      </x:c>
      <x:c r="B103" s="1" t="str">
        <x:v>atlas-meridian</x:v>
      </x:c>
      <x:c r="C103" s="1" t="str">
        <x:v>LC-CONSOLIDATION</x:v>
      </x:c>
      <x:c r="D103" s="12" t="n">
        <x:v>60</x:v>
      </x:c>
      <x:c r="E103" s="12" t="n">
        <x:v>60</x:v>
      </x:c>
      <x:c r="F103" s="12" t="n">
        <x:v>0</x:v>
      </x:c>
      <x:c r="G103" s="12" t="n">
        <x:v>0</x:v>
      </x:c>
      <x:c r="H103" s="14" t="n">
        <x:f>D103-SUM(E103:G103)</x:f>
        <x:v>0</x:v>
      </x:c>
    </x:row>
    <x:row r="104" ht="19" customHeight="1">
      <x:c r="A104" s="1" t="str">
        <x:v>expansion</x:v>
      </x:c>
      <x:c r="B104" s="1" t="str">
        <x:v>atlas-meridian</x:v>
      </x:c>
      <x:c r="C104" s="1" t="str">
        <x:v>LC-CREDIT</x:v>
      </x:c>
      <x:c r="D104" s="12" t="n">
        <x:v>60</x:v>
      </x:c>
      <x:c r="E104" s="12" t="n">
        <x:v>59</x:v>
      </x:c>
      <x:c r="F104" s="12" t="n">
        <x:v>0</x:v>
      </x:c>
      <x:c r="G104" s="12" t="n">
        <x:v>1</x:v>
      </x:c>
      <x:c r="H104" s="14" t="n">
        <x:f>D104-SUM(E104:G104)</x:f>
        <x:v>0</x:v>
      </x:c>
    </x:row>
    <x:row r="105" ht="19" customHeight="1">
      <x:c r="A105" s="1" t="str">
        <x:v>expansion</x:v>
      </x:c>
      <x:c r="B105" s="1" t="str">
        <x:v>atlas-meridian</x:v>
      </x:c>
      <x:c r="C105" s="1" t="str">
        <x:v>LC-ESTIMATE</x:v>
      </x:c>
      <x:c r="D105" s="12" t="n">
        <x:v>60</x:v>
      </x:c>
      <x:c r="E105" s="12" t="n">
        <x:v>60</x:v>
      </x:c>
      <x:c r="F105" s="12" t="n">
        <x:v>0</x:v>
      </x:c>
      <x:c r="G105" s="12" t="n">
        <x:v>0</x:v>
      </x:c>
      <x:c r="H105" s="14" t="n">
        <x:f>D105-SUM(E105:G105)</x:f>
        <x:v>0</x:v>
      </x:c>
    </x:row>
    <x:row r="106" ht="19" customHeight="1">
      <x:c r="A106" s="1" t="str">
        <x:v>expansion</x:v>
      </x:c>
      <x:c r="B106" s="1" t="str">
        <x:v>atlas-meridian</x:v>
      </x:c>
      <x:c r="C106" s="1" t="str">
        <x:v>LC-REVENUE</x:v>
      </x:c>
      <x:c r="D106" s="12" t="n">
        <x:v>60</x:v>
      </x:c>
      <x:c r="E106" s="12" t="n">
        <x:v>60</x:v>
      </x:c>
      <x:c r="F106" s="12" t="n">
        <x:v>0</x:v>
      </x:c>
      <x:c r="G106" s="12" t="n">
        <x:v>0</x:v>
      </x:c>
      <x:c r="H106" s="14" t="n">
        <x:f>D106-SUM(E106:G106)</x:f>
        <x:v>0</x:v>
      </x:c>
    </x:row>
    <x:row r="107" ht="19" customHeight="1">
      <x:c r="A107" s="1" t="str">
        <x:v>expansion</x:v>
      </x:c>
      <x:c r="B107" s="1" t="str">
        <x:v>atlas-meridian</x:v>
      </x:c>
      <x:c r="C107" s="1" t="str">
        <x:v>LC-WORKFORCE</x:v>
      </x:c>
      <x:c r="D107" s="12" t="n">
        <x:v>60</x:v>
      </x:c>
      <x:c r="E107" s="12" t="n">
        <x:v>60</x:v>
      </x:c>
      <x:c r="F107" s="12" t="n">
        <x:v>0</x:v>
      </x:c>
      <x:c r="G107" s="12" t="n">
        <x:v>0</x:v>
      </x:c>
      <x:c r="H107" s="14" t="n">
        <x:f>D107-SUM(E107:G107)</x:f>
        <x:v>0</x:v>
      </x:c>
    </x:row>
    <x:row r="108" ht="19" customHeight="1">
      <x:c r="A108" s="1" t="str">
        <x:v>expansion</x:v>
      </x:c>
      <x:c r="B108" s="1" t="str">
        <x:v>corporate</x:v>
      </x:c>
      <x:c r="C108" s="1" t="str">
        <x:v>LC-CONSOLIDATION</x:v>
      </x:c>
      <x:c r="D108" s="12" t="n">
        <x:v>60</x:v>
      </x:c>
      <x:c r="E108" s="12" t="n">
        <x:v>60</x:v>
      </x:c>
      <x:c r="F108" s="12" t="n">
        <x:v>0</x:v>
      </x:c>
      <x:c r="G108" s="12" t="n">
        <x:v>0</x:v>
      </x:c>
      <x:c r="H108" s="14" t="n">
        <x:f>D108-SUM(E108:G108)</x:f>
        <x:v>0</x:v>
      </x:c>
    </x:row>
    <x:row r="109" ht="19" customHeight="1">
      <x:c r="A109" s="1" t="str">
        <x:v>expansion</x:v>
      </x:c>
      <x:c r="B109" s="1" t="str">
        <x:v>corporate</x:v>
      </x:c>
      <x:c r="C109" s="1" t="str">
        <x:v>LC-ESTIMATE</x:v>
      </x:c>
      <x:c r="D109" s="12" t="n">
        <x:v>60</x:v>
      </x:c>
      <x:c r="E109" s="12" t="n">
        <x:v>60</x:v>
      </x:c>
      <x:c r="F109" s="12" t="n">
        <x:v>0</x:v>
      </x:c>
      <x:c r="G109" s="12" t="n">
        <x:v>0</x:v>
      </x:c>
      <x:c r="H109" s="14" t="n">
        <x:f>D109-SUM(E109:G109)</x:f>
        <x:v>0</x:v>
      </x:c>
    </x:row>
    <x:row r="110" ht="19" customHeight="1">
      <x:c r="A110" s="1" t="str">
        <x:v>expansion</x:v>
      </x:c>
      <x:c r="B110" s="1" t="str">
        <x:v>corporate</x:v>
      </x:c>
      <x:c r="C110" s="1" t="str">
        <x:v>LC-WORKFORCE</x:v>
      </x:c>
      <x:c r="D110" s="12" t="n">
        <x:v>60</x:v>
      </x:c>
      <x:c r="E110" s="12" t="n">
        <x:v>60</x:v>
      </x:c>
      <x:c r="F110" s="12" t="n">
        <x:v>0</x:v>
      </x:c>
      <x:c r="G110" s="12" t="n">
        <x:v>0</x:v>
      </x:c>
      <x:c r="H110" s="14" t="n">
        <x:f>D110-SUM(E110:G110)</x:f>
        <x:v>0</x:v>
      </x:c>
    </x:row>
    <x:row r="111" ht="19" customHeight="1">
      <x:c r="A111" s="1" t="str">
        <x:v>expansion</x:v>
      </x:c>
      <x:c r="B111" s="1" t="str">
        <x:v>foundry-field</x:v>
      </x:c>
      <x:c r="C111" s="1" t="str">
        <x:v>LC-CONSOLIDATION</x:v>
      </x:c>
      <x:c r="D111" s="12" t="n">
        <x:v>60</x:v>
      </x:c>
      <x:c r="E111" s="12" t="n">
        <x:v>60</x:v>
      </x:c>
      <x:c r="F111" s="12" t="n">
        <x:v>0</x:v>
      </x:c>
      <x:c r="G111" s="12" t="n">
        <x:v>0</x:v>
      </x:c>
      <x:c r="H111" s="14" t="n">
        <x:f>D111-SUM(E111:G111)</x:f>
        <x:v>0</x:v>
      </x:c>
    </x:row>
    <x:row r="112" ht="19" customHeight="1">
      <x:c r="A112" s="1" t="str">
        <x:v>expansion</x:v>
      </x:c>
      <x:c r="B112" s="1" t="str">
        <x:v>foundry-field</x:v>
      </x:c>
      <x:c r="C112" s="1" t="str">
        <x:v>LC-CREDIT</x:v>
      </x:c>
      <x:c r="D112" s="12" t="n">
        <x:v>60</x:v>
      </x:c>
      <x:c r="E112" s="12" t="n">
        <x:v>34</x:v>
      </x:c>
      <x:c r="F112" s="12" t="n">
        <x:v>0</x:v>
      </x:c>
      <x:c r="G112" s="12" t="n">
        <x:v>26</x:v>
      </x:c>
      <x:c r="H112" s="14" t="n">
        <x:f>D112-SUM(E112:G112)</x:f>
        <x:v>0</x:v>
      </x:c>
    </x:row>
    <x:row r="113" ht="19" customHeight="1">
      <x:c r="A113" s="1" t="str">
        <x:v>expansion</x:v>
      </x:c>
      <x:c r="B113" s="1" t="str">
        <x:v>foundry-field</x:v>
      </x:c>
      <x:c r="C113" s="1" t="str">
        <x:v>LC-ESTIMATE</x:v>
      </x:c>
      <x:c r="D113" s="12" t="n">
        <x:v>60</x:v>
      </x:c>
      <x:c r="E113" s="12" t="n">
        <x:v>60</x:v>
      </x:c>
      <x:c r="F113" s="12" t="n">
        <x:v>0</x:v>
      </x:c>
      <x:c r="G113" s="12" t="n">
        <x:v>0</x:v>
      </x:c>
      <x:c r="H113" s="14" t="n">
        <x:f>D113-SUM(E113:G113)</x:f>
        <x:v>0</x:v>
      </x:c>
    </x:row>
    <x:row r="114" ht="19" customHeight="1">
      <x:c r="A114" s="1" t="str">
        <x:v>expansion</x:v>
      </x:c>
      <x:c r="B114" s="1" t="str">
        <x:v>foundry-field</x:v>
      </x:c>
      <x:c r="C114" s="1" t="str">
        <x:v>LC-REVENUE</x:v>
      </x:c>
      <x:c r="D114" s="12" t="n">
        <x:v>60</x:v>
      </x:c>
      <x:c r="E114" s="12" t="n">
        <x:v>60</x:v>
      </x:c>
      <x:c r="F114" s="12" t="n">
        <x:v>0</x:v>
      </x:c>
      <x:c r="G114" s="12" t="n">
        <x:v>0</x:v>
      </x:c>
      <x:c r="H114" s="14" t="n">
        <x:f>D114-SUM(E114:G114)</x:f>
        <x:v>0</x:v>
      </x:c>
    </x:row>
    <x:row r="115" ht="19" customHeight="1">
      <x:c r="A115" s="1" t="str">
        <x:v>expansion</x:v>
      </x:c>
      <x:c r="B115" s="1" t="str">
        <x:v>foundry-field</x:v>
      </x:c>
      <x:c r="C115" s="1" t="str">
        <x:v>LC-TRANSFER</x:v>
      </x:c>
      <x:c r="D115" s="12" t="n">
        <x:v>60</x:v>
      </x:c>
      <x:c r="E115" s="12" t="n">
        <x:v>0</x:v>
      </x:c>
      <x:c r="F115" s="12" t="n">
        <x:v>0</x:v>
      </x:c>
      <x:c r="G115" s="12" t="n">
        <x:v>60</x:v>
      </x:c>
      <x:c r="H115" s="14" t="n">
        <x:f>D115-SUM(E115:G115)</x:f>
        <x:v>0</x:v>
      </x:c>
    </x:row>
    <x:row r="116" ht="19" customHeight="1">
      <x:c r="A116" s="1" t="str">
        <x:v>expansion</x:v>
      </x:c>
      <x:c r="B116" s="1" t="str">
        <x:v>foundry-field</x:v>
      </x:c>
      <x:c r="C116" s="1" t="str">
        <x:v>LC-WORKFORCE</x:v>
      </x:c>
      <x:c r="D116" s="12" t="n">
        <x:v>60</x:v>
      </x:c>
      <x:c r="E116" s="12" t="n">
        <x:v>60</x:v>
      </x:c>
      <x:c r="F116" s="12" t="n">
        <x:v>0</x:v>
      </x:c>
      <x:c r="G116" s="12" t="n">
        <x:v>0</x:v>
      </x:c>
      <x:c r="H116" s="14" t="n">
        <x:f>D116-SUM(E116:G116)</x:f>
        <x:v>0</x:v>
      </x:c>
    </x:row>
    <x:row r="117" ht="19" customHeight="1">
      <x:c r="A117" s="1" t="str">
        <x:v>expansion</x:v>
      </x:c>
      <x:c r="B117" s="1" t="str">
        <x:v>pale-sun</x:v>
      </x:c>
      <x:c r="C117" s="1" t="str">
        <x:v>LC-CONSOLIDATION</x:v>
      </x:c>
      <x:c r="D117" s="12" t="n">
        <x:v>60</x:v>
      </x:c>
      <x:c r="E117" s="12" t="n">
        <x:v>60</x:v>
      </x:c>
      <x:c r="F117" s="12" t="n">
        <x:v>0</x:v>
      </x:c>
      <x:c r="G117" s="12" t="n">
        <x:v>0</x:v>
      </x:c>
      <x:c r="H117" s="14" t="n">
        <x:f>D117-SUM(E117:G117)</x:f>
        <x:v>0</x:v>
      </x:c>
    </x:row>
    <x:row r="118" ht="19" customHeight="1">
      <x:c r="A118" s="1" t="str">
        <x:v>expansion</x:v>
      </x:c>
      <x:c r="B118" s="1" t="str">
        <x:v>pale-sun</x:v>
      </x:c>
      <x:c r="C118" s="1" t="str">
        <x:v>LC-CREDIT</x:v>
      </x:c>
      <x:c r="D118" s="12" t="n">
        <x:v>60</x:v>
      </x:c>
      <x:c r="E118" s="12" t="n">
        <x:v>0</x:v>
      </x:c>
      <x:c r="F118" s="12" t="n">
        <x:v>0</x:v>
      </x:c>
      <x:c r="G118" s="12" t="n">
        <x:v>60</x:v>
      </x:c>
      <x:c r="H118" s="14" t="n">
        <x:f>D118-SUM(E118:G118)</x:f>
        <x:v>0</x:v>
      </x:c>
    </x:row>
    <x:row r="119" ht="19" customHeight="1">
      <x:c r="A119" s="1" t="str">
        <x:v>expansion</x:v>
      </x:c>
      <x:c r="B119" s="1" t="str">
        <x:v>pale-sun</x:v>
      </x:c>
      <x:c r="C119" s="1" t="str">
        <x:v>LC-ESTIMATE</x:v>
      </x:c>
      <x:c r="D119" s="12" t="n">
        <x:v>60</x:v>
      </x:c>
      <x:c r="E119" s="12" t="n">
        <x:v>0</x:v>
      </x:c>
      <x:c r="F119" s="12" t="n">
        <x:v>0</x:v>
      </x:c>
      <x:c r="G119" s="12" t="n">
        <x:v>60</x:v>
      </x:c>
      <x:c r="H119" s="14" t="n">
        <x:f>D119-SUM(E119:G119)</x:f>
        <x:v>0</x:v>
      </x:c>
    </x:row>
    <x:row r="120" ht="19" customHeight="1">
      <x:c r="A120" s="1" t="str">
        <x:v>expansion</x:v>
      </x:c>
      <x:c r="B120" s="1" t="str">
        <x:v>pale-sun</x:v>
      </x:c>
      <x:c r="C120" s="1" t="str">
        <x:v>LC-INDUSTRIAL</x:v>
      </x:c>
      <x:c r="D120" s="12" t="n">
        <x:v>60</x:v>
      </x:c>
      <x:c r="E120" s="12" t="n">
        <x:v>0</x:v>
      </x:c>
      <x:c r="F120" s="12" t="n">
        <x:v>0</x:v>
      </x:c>
      <x:c r="G120" s="12" t="n">
        <x:v>60</x:v>
      </x:c>
      <x:c r="H120" s="14" t="n">
        <x:f>D120-SUM(E120:G120)</x:f>
        <x:v>0</x:v>
      </x:c>
    </x:row>
    <x:row r="121" ht="19" customHeight="1">
      <x:c r="A121" s="1" t="str">
        <x:v>expansion</x:v>
      </x:c>
      <x:c r="B121" s="1" t="str">
        <x:v>pale-sun</x:v>
      </x:c>
      <x:c r="C121" s="1" t="str">
        <x:v>LC-WORKFORCE</x:v>
      </x:c>
      <x:c r="D121" s="12" t="n">
        <x:v>60</x:v>
      </x:c>
      <x:c r="E121" s="12" t="n">
        <x:v>0</x:v>
      </x:c>
      <x:c r="F121" s="12" t="n">
        <x:v>0</x:v>
      </x:c>
      <x:c r="G121" s="12" t="n">
        <x:v>60</x:v>
      </x:c>
      <x:c r="H121" s="14" t="n">
        <x:f>D121-SUM(E121:G121)</x:f>
        <x:v>0</x:v>
      </x:c>
    </x:row>
    <x:row r="122" ht="19" customHeight="1">
      <x:c r="A122" s="1" t="str">
        <x:v>expansion</x:v>
      </x:c>
      <x:c r="B122" s="1" t="str">
        <x:v>project-cradle</x:v>
      </x:c>
      <x:c r="C122" s="1" t="str">
        <x:v>LC-CONSOLIDATION</x:v>
      </x:c>
      <x:c r="D122" s="12" t="n">
        <x:v>60</x:v>
      </x:c>
      <x:c r="E122" s="12" t="n">
        <x:v>60</x:v>
      </x:c>
      <x:c r="F122" s="12" t="n">
        <x:v>0</x:v>
      </x:c>
      <x:c r="G122" s="12" t="n">
        <x:v>0</x:v>
      </x:c>
      <x:c r="H122" s="14" t="n">
        <x:f>D122-SUM(E122:G122)</x:f>
        <x:v>0</x:v>
      </x:c>
    </x:row>
    <x:row r="123" ht="19" customHeight="1">
      <x:c r="A123" s="1" t="str">
        <x:v>expansion</x:v>
      </x:c>
      <x:c r="B123" s="1" t="str">
        <x:v>project-cradle</x:v>
      </x:c>
      <x:c r="C123" s="1" t="str">
        <x:v>LC-CREDIT</x:v>
      </x:c>
      <x:c r="D123" s="12" t="n">
        <x:v>60</x:v>
      </x:c>
      <x:c r="E123" s="12" t="n">
        <x:v>58</x:v>
      </x:c>
      <x:c r="F123" s="12" t="n">
        <x:v>0</x:v>
      </x:c>
      <x:c r="G123" s="12" t="n">
        <x:v>2</x:v>
      </x:c>
      <x:c r="H123" s="14" t="n">
        <x:f>D123-SUM(E123:G123)</x:f>
        <x:v>0</x:v>
      </x:c>
    </x:row>
    <x:row r="124" ht="19" customHeight="1">
      <x:c r="A124" s="1" t="str">
        <x:v>expansion</x:v>
      </x:c>
      <x:c r="B124" s="1" t="str">
        <x:v>project-cradle</x:v>
      </x:c>
      <x:c r="C124" s="1" t="str">
        <x:v>LC-ESTIMATE</x:v>
      </x:c>
      <x:c r="D124" s="12" t="n">
        <x:v>60</x:v>
      </x:c>
      <x:c r="E124" s="12" t="n">
        <x:v>60</x:v>
      </x:c>
      <x:c r="F124" s="12" t="n">
        <x:v>0</x:v>
      </x:c>
      <x:c r="G124" s="12" t="n">
        <x:v>0</x:v>
      </x:c>
      <x:c r="H124" s="14" t="n">
        <x:f>D124-SUM(E124:G124)</x:f>
        <x:v>0</x:v>
      </x:c>
    </x:row>
    <x:row r="125" ht="19" customHeight="1">
      <x:c r="A125" s="1" t="str">
        <x:v>expansion</x:v>
      </x:c>
      <x:c r="B125" s="1" t="str">
        <x:v>project-cradle</x:v>
      </x:c>
      <x:c r="C125" s="1" t="str">
        <x:v>LC-RECOVERY</x:v>
      </x:c>
      <x:c r="D125" s="12" t="n">
        <x:v>60</x:v>
      </x:c>
      <x:c r="E125" s="12" t="n">
        <x:v>60</x:v>
      </x:c>
      <x:c r="F125" s="12" t="n">
        <x:v>0</x:v>
      </x:c>
      <x:c r="G125" s="12" t="n">
        <x:v>0</x:v>
      </x:c>
      <x:c r="H125" s="14" t="n">
        <x:f>D125-SUM(E125:G125)</x:f>
        <x:v>0</x:v>
      </x:c>
    </x:row>
    <x:row r="126" ht="19" customHeight="1">
      <x:c r="A126" s="1" t="str">
        <x:v>expansion</x:v>
      </x:c>
      <x:c r="B126" s="1" t="str">
        <x:v>project-cradle</x:v>
      </x:c>
      <x:c r="C126" s="1" t="str">
        <x:v>LC-TRANSFER</x:v>
      </x:c>
      <x:c r="D126" s="12" t="n">
        <x:v>60</x:v>
      </x:c>
      <x:c r="E126" s="12" t="n">
        <x:v>0</x:v>
      </x:c>
      <x:c r="F126" s="12" t="n">
        <x:v>0</x:v>
      </x:c>
      <x:c r="G126" s="12" t="n">
        <x:v>60</x:v>
      </x:c>
      <x:c r="H126" s="14" t="n">
        <x:f>D126-SUM(E126:G126)</x:f>
        <x:v>0</x:v>
      </x:c>
    </x:row>
    <x:row r="127" ht="19" customHeight="1">
      <x:c r="A127" s="1" t="str">
        <x:v>expansion</x:v>
      </x:c>
      <x:c r="B127" s="1" t="str">
        <x:v>project-cradle</x:v>
      </x:c>
      <x:c r="C127" s="1" t="str">
        <x:v>LC-WORKFORCE</x:v>
      </x:c>
      <x:c r="D127" s="12" t="n">
        <x:v>60</x:v>
      </x:c>
      <x:c r="E127" s="12" t="n">
        <x:v>60</x:v>
      </x:c>
      <x:c r="F127" s="12" t="n">
        <x:v>0</x:v>
      </x:c>
      <x:c r="G127" s="12" t="n">
        <x:v>0</x:v>
      </x:c>
      <x:c r="H127" s="14" t="n">
        <x:f>D127-SUM(E127:G127)</x:f>
        <x:v>0</x:v>
      </x:c>
    </x:row>
    <x:row r="128" ht="19" customHeight="1">
      <x:c r="A128" s="1" t="str">
        <x:v>expansion</x:v>
      </x:c>
      <x:c r="B128" s="1" t="str">
        <x:v>willow</x:v>
      </x:c>
      <x:c r="C128" s="1" t="str">
        <x:v>LC-CONSOLIDATION</x:v>
      </x:c>
      <x:c r="D128" s="12" t="n">
        <x:v>60</x:v>
      </x:c>
      <x:c r="E128" s="12" t="n">
        <x:v>60</x:v>
      </x:c>
      <x:c r="F128" s="12" t="n">
        <x:v>0</x:v>
      </x:c>
      <x:c r="G128" s="12" t="n">
        <x:v>0</x:v>
      </x:c>
      <x:c r="H128" s="14" t="n">
        <x:f>D128-SUM(E128:G128)</x:f>
        <x:v>0</x:v>
      </x:c>
    </x:row>
    <x:row r="129" ht="19" customHeight="1">
      <x:c r="A129" s="1" t="str">
        <x:v>expansion</x:v>
      </x:c>
      <x:c r="B129" s="1" t="str">
        <x:v>willow</x:v>
      </x:c>
      <x:c r="C129" s="1" t="str">
        <x:v>LC-ESTIMATE</x:v>
      </x:c>
      <x:c r="D129" s="12" t="n">
        <x:v>60</x:v>
      </x:c>
      <x:c r="E129" s="12" t="n">
        <x:v>60</x:v>
      </x:c>
      <x:c r="F129" s="12" t="n">
        <x:v>0</x:v>
      </x:c>
      <x:c r="G129" s="12" t="n">
        <x:v>0</x:v>
      </x:c>
      <x:c r="H129" s="14" t="n">
        <x:f>D129-SUM(E129:G129)</x:f>
        <x:v>0</x:v>
      </x:c>
    </x:row>
    <x:row r="130" ht="19" customHeight="1">
      <x:c r="A130" s="1" t="str">
        <x:v>expansion</x:v>
      </x:c>
      <x:c r="B130" s="1" t="str">
        <x:v>willow</x:v>
      </x:c>
      <x:c r="C130" s="1" t="str">
        <x:v>LC-TRANSFER</x:v>
      </x:c>
      <x:c r="D130" s="12" t="n">
        <x:v>60</x:v>
      </x:c>
      <x:c r="E130" s="12" t="n">
        <x:v>6</x:v>
      </x:c>
      <x:c r="F130" s="12" t="n">
        <x:v>0</x:v>
      </x:c>
      <x:c r="G130" s="12" t="n">
        <x:v>54</x:v>
      </x:c>
      <x:c r="H130" s="14" t="n">
        <x:f>D130-SUM(E130:G130)</x:f>
        <x:v>0</x:v>
      </x:c>
    </x:row>
    <x:row r="131" ht="19" customHeight="1">
      <x:c r="A131" s="1" t="str">
        <x:v>expansion</x:v>
      </x:c>
      <x:c r="B131" s="1" t="str">
        <x:v>willow</x:v>
      </x:c>
      <x:c r="C131" s="1" t="str">
        <x:v>LC-WORKFORCE</x:v>
      </x:c>
      <x:c r="D131" s="12" t="n">
        <x:v>60</x:v>
      </x:c>
      <x:c r="E131" s="12" t="n">
        <x:v>60</x:v>
      </x:c>
      <x:c r="F131" s="12" t="n">
        <x:v>0</x:v>
      </x:c>
      <x:c r="G131" s="12" t="n">
        <x:v>0</x:v>
      </x:c>
      <x:c r="H131" s="14" t="n">
        <x:f>D131-SUM(E131:G131)</x:f>
        <x:v>0</x:v>
      </x:c>
    </x:row>
  </x:sheetData>
  <x:conditionalFormatting sqref="H6:H131">
    <x:cfRule type="expression" dxfId="1" priority="1">
      <x:formula>ABS(H6)&gt;0.0001</x:formula>
    </x:cfRule>
  </x:conditionalFormatting>
  <x:conditionalFormatting sqref="F6:G131">
    <x:cfRule type="cellIs" dxfId="2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</x:cols>
  <x:sheetData>
    <x:row r="1" ht="19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" t="str">
        <x:v>Customer ARR (USD)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19" customHeight="1">
      <x:c r="A3" s="5" t="str">
        <x:v>Source: versioned synthetic operating records. Full populations are in the accompanying CSV and SQLite files.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9" customHeight="1">
      <x:c r="A4" s="6" t="str">
        <x:v>Content: edd301ad6c9d319532dfd9ae79ecdbfd5456fa73aeec8e61da1ca6f9279317ac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11" t="str">
        <x:v>Scenario</x:v>
      </x:c>
      <x:c r="B5" s="11" t="str">
        <x:v>Business</x:v>
      </x:c>
      <x:c r="C5" s="11" t="str">
        <x:v>Year</x:v>
      </x:c>
      <x:c r="D5" s="11" t="str">
        <x:v>Opening ARR</x:v>
      </x:c>
      <x:c r="E5" s="11" t="str">
        <x:v>New ARR</x:v>
      </x:c>
      <x:c r="F5" s="11" t="str">
        <x:v>Expansion</x:v>
      </x:c>
      <x:c r="G5" s="11" t="str">
        <x:v>Price changes</x:v>
      </x:c>
      <x:c r="H5" s="11" t="str">
        <x:v>Contraction</x:v>
      </x:c>
      <x:c r="I5" s="11" t="str">
        <x:v>Churn</x:v>
      </x:c>
      <x:c r="J5" s="11" t="str">
        <x:v>Closing ARR</x:v>
      </x:c>
      <x:c r="K5" s="11" t="str">
        <x:v>Difference</x:v>
      </x:c>
    </x:row>
    <x:row r="6" ht="19" customHeight="1">
      <x:c r="A6" s="1" t="str">
        <x:v>base</x:v>
      </x:c>
      <x:c r="B6" s="1" t="str">
        <x:v>atlas-meridian</x:v>
      </x:c>
      <x:c r="C6" s="12" t="n">
        <x:v>2027</x:v>
      </x:c>
      <x:c r="D6" s="13" t="n">
        <x:v>0</x:v>
      </x:c>
      <x:c r="E6" s="13" t="n">
        <x:v>3600000</x:v>
      </x:c>
      <x:c r="F6" s="13" t="n">
        <x:v>42000</x:v>
      </x:c>
      <x:c r="G6" s="13" t="n">
        <x:v>0</x:v>
      </x:c>
      <x:c r="H6" s="13" t="n">
        <x:v>0</x:v>
      </x:c>
      <x:c r="I6" s="13" t="n">
        <x:v>0</x:v>
      </x:c>
      <x:c r="J6" s="13" t="n">
        <x:v>3642000</x:v>
      </x:c>
      <x:c r="K6" s="14" t="n">
        <x:f>D6+E6+F6+G6-H6-I6-J6</x:f>
        <x:v>0</x:v>
      </x:c>
    </x:row>
    <x:row r="7" ht="19" customHeight="1">
      <x:c r="A7" s="1" t="str">
        <x:v>base</x:v>
      </x:c>
      <x:c r="B7" s="1" t="str">
        <x:v>atlas-meridian</x:v>
      </x:c>
      <x:c r="C7" s="12" t="n">
        <x:v>2028</x:v>
      </x:c>
      <x:c r="D7" s="13" t="n">
        <x:v>3642000</x:v>
      </x:c>
      <x:c r="E7" s="13" t="n">
        <x:v>0</x:v>
      </x:c>
      <x:c r="F7" s="13" t="n">
        <x:v>0</x:v>
      </x:c>
      <x:c r="G7" s="13" t="n">
        <x:v>134400</x:v>
      </x:c>
      <x:c r="H7" s="13" t="n">
        <x:v>0</x:v>
      </x:c>
      <x:c r="I7" s="13" t="n">
        <x:v>282000</x:v>
      </x:c>
      <x:c r="J7" s="13" t="n">
        <x:v>3494400</x:v>
      </x:c>
      <x:c r="K7" s="14" t="n">
        <x:f>D7+E7+F7+G7-H7-I7-J7</x:f>
        <x:v>0</x:v>
      </x:c>
    </x:row>
    <x:row r="8" ht="19" customHeight="1">
      <x:c r="A8" s="1" t="str">
        <x:v>base</x:v>
      </x:c>
      <x:c r="B8" s="1" t="str">
        <x:v>atlas-meridian</x:v>
      </x:c>
      <x:c r="C8" s="12" t="n">
        <x:v>2029</x:v>
      </x:c>
      <x:c r="D8" s="13" t="n">
        <x:v>3494400</x:v>
      </x:c>
      <x:c r="E8" s="13" t="n">
        <x:v>0</x:v>
      </x:c>
      <x:c r="F8" s="13" t="n">
        <x:v>0</x:v>
      </x:c>
      <x:c r="G8" s="13" t="n">
        <x:v>139776</x:v>
      </x:c>
      <x:c r="H8" s="13" t="n">
        <x:v>0</x:v>
      </x:c>
      <x:c r="I8" s="13" t="n">
        <x:v>0</x:v>
      </x:c>
      <x:c r="J8" s="13" t="n">
        <x:v>3634176</x:v>
      </x:c>
      <x:c r="K8" s="14" t="n">
        <x:f>D8+E8+F8+G8-H8-I8-J8</x:f>
        <x:v>0</x:v>
      </x:c>
    </x:row>
    <x:row r="9" ht="19" customHeight="1">
      <x:c r="A9" s="1" t="str">
        <x:v>base</x:v>
      </x:c>
      <x:c r="B9" s="1" t="str">
        <x:v>atlas-meridian</x:v>
      </x:c>
      <x:c r="C9" s="12" t="n">
        <x:v>2030</x:v>
      </x:c>
      <x:c r="D9" s="13" t="n">
        <x:v>3634176</x:v>
      </x:c>
      <x:c r="E9" s="13" t="n">
        <x:v>0</x:v>
      </x:c>
      <x:c r="F9" s="13" t="n">
        <x:v>0</x:v>
      </x:c>
      <x:c r="G9" s="13" t="n">
        <x:v>145367.04</x:v>
      </x:c>
      <x:c r="H9" s="13" t="n">
        <x:v>0</x:v>
      </x:c>
      <x:c r="I9" s="13" t="n">
        <x:v>0</x:v>
      </x:c>
      <x:c r="J9" s="13" t="n">
        <x:v>3779543.04</x:v>
      </x:c>
      <x:c r="K9" s="14" t="n">
        <x:f>D9+E9+F9+G9-H9-I9-J9</x:f>
        <x:v>0</x:v>
      </x:c>
    </x:row>
    <x:row r="10" ht="19" customHeight="1">
      <x:c r="A10" s="1" t="str">
        <x:v>base</x:v>
      </x:c>
      <x:c r="B10" s="1" t="str">
        <x:v>atlas-meridian</x:v>
      </x:c>
      <x:c r="C10" s="12" t="n">
        <x:v>2031</x:v>
      </x:c>
      <x:c r="D10" s="13" t="n">
        <x:v>3779543.04</x:v>
      </x:c>
      <x:c r="E10" s="13" t="n">
        <x:v>0</x:v>
      </x:c>
      <x:c r="F10" s="13" t="n">
        <x:v>0</x:v>
      </x:c>
      <x:c r="G10" s="13" t="n">
        <x:v>151181.7216</x:v>
      </x:c>
      <x:c r="H10" s="13" t="n">
        <x:v>0</x:v>
      </x:c>
      <x:c r="I10" s="13" t="n">
        <x:v>0</x:v>
      </x:c>
      <x:c r="J10" s="13" t="n">
        <x:v>3930724.7616</x:v>
      </x:c>
      <x:c r="K10" s="14" t="n">
        <x:f>D10+E10+F10+G10-H10-I10-J10</x:f>
        <x:v>0</x:v>
      </x:c>
    </x:row>
    <x:row r="11" ht="19" customHeight="1">
      <x:c r="A11" s="1" t="str">
        <x:v>base</x:v>
      </x:c>
      <x:c r="B11" s="1" t="str">
        <x:v>foundry-field</x:v>
      </x:c>
      <x:c r="C11" s="12" t="n">
        <x:v>2027</x:v>
      </x:c>
      <x:c r="D11" s="13" t="n">
        <x:v>0</x:v>
      </x:c>
      <x:c r="E11" s="13" t="n">
        <x:v>63600000</x:v>
      </x:c>
      <x:c r="F11" s="13" t="n">
        <x:v>264000</x:v>
      </x:c>
      <x:c r="G11" s="13" t="n">
        <x:v>60000</x:v>
      </x:c>
      <x:c r="H11" s="13" t="n">
        <x:v>348000</x:v>
      </x:c>
      <x:c r="I11" s="13" t="n">
        <x:v>1920000</x:v>
      </x:c>
      <x:c r="J11" s="13" t="n">
        <x:v>61656000</x:v>
      </x:c>
      <x:c r="K11" s="14" t="n">
        <x:f>D11+E11+F11+G11-H11-I11-J11</x:f>
        <x:v>0</x:v>
      </x:c>
    </x:row>
    <x:row r="12" ht="19" customHeight="1">
      <x:c r="A12" s="1" t="str">
        <x:v>base</x:v>
      </x:c>
      <x:c r="B12" s="1" t="str">
        <x:v>foundry-field</x:v>
      </x:c>
      <x:c r="C12" s="12" t="n">
        <x:v>2028</x:v>
      </x:c>
      <x:c r="D12" s="13" t="n">
        <x:v>61656000</x:v>
      </x:c>
      <x:c r="E12" s="13" t="n">
        <x:v>9540000</x:v>
      </x:c>
      <x:c r="F12" s="13" t="n">
        <x:v>0</x:v>
      </x:c>
      <x:c r="G12" s="13" t="n">
        <x:v>2273760</x:v>
      </x:c>
      <x:c r="H12" s="13" t="n">
        <x:v>0</x:v>
      </x:c>
      <x:c r="I12" s="13" t="n">
        <x:v>6060000</x:v>
      </x:c>
      <x:c r="J12" s="13" t="n">
        <x:v>67409760</x:v>
      </x:c>
      <x:c r="K12" s="14" t="n">
        <x:f>D12+E12+F12+G12-H12-I12-J12</x:f>
        <x:v>0</x:v>
      </x:c>
    </x:row>
    <x:row r="13" ht="19" customHeight="1">
      <x:c r="A13" s="1" t="str">
        <x:v>base</x:v>
      </x:c>
      <x:c r="B13" s="1" t="str">
        <x:v>foundry-field</x:v>
      </x:c>
      <x:c r="C13" s="12" t="n">
        <x:v>2029</x:v>
      </x:c>
      <x:c r="D13" s="13" t="n">
        <x:v>67409760</x:v>
      </x:c>
      <x:c r="E13" s="13" t="n">
        <x:v>9720000</x:v>
      </x:c>
      <x:c r="F13" s="13" t="n">
        <x:v>0</x:v>
      </x:c>
      <x:c r="G13" s="13" t="n">
        <x:v>2696390.4</x:v>
      </x:c>
      <x:c r="H13" s="13" t="n">
        <x:v>0</x:v>
      </x:c>
      <x:c r="I13" s="13" t="n">
        <x:v>0</x:v>
      </x:c>
      <x:c r="J13" s="13" t="n">
        <x:v>79826150.4</x:v>
      </x:c>
      <x:c r="K13" s="14" t="n">
        <x:f>D13+E13+F13+G13-H13-I13-J13</x:f>
        <x:v>0</x:v>
      </x:c>
    </x:row>
    <x:row r="14" ht="19" customHeight="1">
      <x:c r="A14" s="1" t="str">
        <x:v>base</x:v>
      </x:c>
      <x:c r="B14" s="1" t="str">
        <x:v>foundry-field</x:v>
      </x:c>
      <x:c r="C14" s="12" t="n">
        <x:v>2030</x:v>
      </x:c>
      <x:c r="D14" s="13" t="n">
        <x:v>79826150.4</x:v>
      </x:c>
      <x:c r="E14" s="13" t="n">
        <x:v>9000000</x:v>
      </x:c>
      <x:c r="F14" s="13" t="n">
        <x:v>0</x:v>
      </x:c>
      <x:c r="G14" s="13" t="n">
        <x:v>3193046.016</x:v>
      </x:c>
      <x:c r="H14" s="13" t="n">
        <x:v>0</x:v>
      </x:c>
      <x:c r="I14" s="13" t="n">
        <x:v>0</x:v>
      </x:c>
      <x:c r="J14" s="13" t="n">
        <x:v>92019196.416</x:v>
      </x:c>
      <x:c r="K14" s="14" t="n">
        <x:f>D14+E14+F14+G14-H14-I14-J14</x:f>
        <x:v>1.4901161193847656e-8</x:v>
      </x:c>
    </x:row>
    <x:row r="15" ht="19" customHeight="1">
      <x:c r="A15" s="1" t="str">
        <x:v>base</x:v>
      </x:c>
      <x:c r="B15" s="1" t="str">
        <x:v>foundry-field</x:v>
      </x:c>
      <x:c r="C15" s="12" t="n">
        <x:v>2031</x:v>
      </x:c>
      <x:c r="D15" s="13" t="n">
        <x:v>92019196.416</x:v>
      </x:c>
      <x:c r="E15" s="13" t="n">
        <x:v>0</x:v>
      </x:c>
      <x:c r="F15" s="13" t="n">
        <x:v>0</x:v>
      </x:c>
      <x:c r="G15" s="13" t="n">
        <x:v>3618367.8564</x:v>
      </x:c>
      <x:c r="H15" s="13" t="n">
        <x:v>0</x:v>
      </x:c>
      <x:c r="I15" s="13" t="n">
        <x:v>1560000</x:v>
      </x:c>
      <x:c r="J15" s="13" t="n">
        <x:v>94077564.2724</x:v>
      </x:c>
      <x:c r="K15" s="14" t="n">
        <x:f>D15+E15+F15+G15-H15-I15-J15</x:f>
        <x:v>-1.4901161193847656e-8</x:v>
      </x:c>
    </x:row>
    <x:row r="16" ht="19" customHeight="1">
      <x:c r="A16" s="1" t="str">
        <x:v>downside</x:v>
      </x:c>
      <x:c r="B16" s="1" t="str">
        <x:v>atlas-meridian</x:v>
      </x:c>
      <x:c r="C16" s="12" t="n">
        <x:v>2027</x:v>
      </x:c>
      <x:c r="D16" s="13" t="n">
        <x:v>0</x:v>
      </x:c>
      <x:c r="E16" s="13" t="n">
        <x:v>3078000</x:v>
      </x:c>
      <x:c r="F16" s="13" t="n">
        <x:v>37800</x:v>
      </x:c>
      <x:c r="G16" s="13" t="n">
        <x:v>0</x:v>
      </x:c>
      <x:c r="H16" s="13" t="n">
        <x:v>0</x:v>
      </x:c>
      <x:c r="I16" s="13" t="n">
        <x:v>0</x:v>
      </x:c>
      <x:c r="J16" s="13" t="n">
        <x:v>3115800</x:v>
      </x:c>
      <x:c r="K16" s="14" t="n">
        <x:f>D16+E16+F16+G16-H16-I16-J16</x:f>
        <x:v>0</x:v>
      </x:c>
    </x:row>
    <x:row r="17" ht="19" customHeight="1">
      <x:c r="A17" s="1" t="str">
        <x:v>downside</x:v>
      </x:c>
      <x:c r="B17" s="1" t="str">
        <x:v>atlas-meridian</x:v>
      </x:c>
      <x:c r="C17" s="12" t="n">
        <x:v>2028</x:v>
      </x:c>
      <x:c r="D17" s="13" t="n">
        <x:v>3115800</x:v>
      </x:c>
      <x:c r="E17" s="13" t="n">
        <x:v>0</x:v>
      </x:c>
      <x:c r="F17" s="13" t="n">
        <x:v>0</x:v>
      </x:c>
      <x:c r="G17" s="13" t="n">
        <x:v>95040</x:v>
      </x:c>
      <x:c r="H17" s="13" t="n">
        <x:v>0</x:v>
      </x:c>
      <x:c r="I17" s="13" t="n">
        <x:v>739800</x:v>
      </x:c>
      <x:c r="J17" s="13" t="n">
        <x:v>2471040</x:v>
      </x:c>
      <x:c r="K17" s="14" t="n">
        <x:f>D17+E17+F17+G17-H17-I17-J17</x:f>
        <x:v>0</x:v>
      </x:c>
    </x:row>
    <x:row r="18" ht="19" customHeight="1">
      <x:c r="A18" s="1" t="str">
        <x:v>downside</x:v>
      </x:c>
      <x:c r="B18" s="1" t="str">
        <x:v>atlas-meridian</x:v>
      </x:c>
      <x:c r="C18" s="12" t="n">
        <x:v>2029</x:v>
      </x:c>
      <x:c r="D18" s="13" t="n">
        <x:v>2471040</x:v>
      </x:c>
      <x:c r="E18" s="13" t="n">
        <x:v>0</x:v>
      </x:c>
      <x:c r="F18" s="13" t="n">
        <x:v>0</x:v>
      </x:c>
      <x:c r="G18" s="13" t="n">
        <x:v>98841.6</x:v>
      </x:c>
      <x:c r="H18" s="13" t="n">
        <x:v>0</x:v>
      </x:c>
      <x:c r="I18" s="13" t="n">
        <x:v>0</x:v>
      </x:c>
      <x:c r="J18" s="13" t="n">
        <x:v>2569881.6</x:v>
      </x:c>
      <x:c r="K18" s="14" t="n">
        <x:f>D18+E18+F18+G18-H18-I18-J18</x:f>
        <x:v>0</x:v>
      </x:c>
    </x:row>
    <x:row r="19" ht="19" customHeight="1">
      <x:c r="A19" s="1" t="str">
        <x:v>downside</x:v>
      </x:c>
      <x:c r="B19" s="1" t="str">
        <x:v>atlas-meridian</x:v>
      </x:c>
      <x:c r="C19" s="12" t="n">
        <x:v>2030</x:v>
      </x:c>
      <x:c r="D19" s="13" t="n">
        <x:v>2569881.6</x:v>
      </x:c>
      <x:c r="E19" s="13" t="n">
        <x:v>0</x:v>
      </x:c>
      <x:c r="F19" s="13" t="n">
        <x:v>0</x:v>
      </x:c>
      <x:c r="G19" s="13" t="n">
        <x:v>102795.264</x:v>
      </x:c>
      <x:c r="H19" s="13" t="n">
        <x:v>0</x:v>
      </x:c>
      <x:c r="I19" s="13" t="n">
        <x:v>0</x:v>
      </x:c>
      <x:c r="J19" s="13" t="n">
        <x:v>2672676.864</x:v>
      </x:c>
      <x:c r="K19" s="14" t="n">
        <x:f>D19+E19+F19+G19-H19-I19-J19</x:f>
        <x:v>0</x:v>
      </x:c>
    </x:row>
    <x:row r="20" ht="19" customHeight="1">
      <x:c r="A20" s="1" t="str">
        <x:v>downside</x:v>
      </x:c>
      <x:c r="B20" s="1" t="str">
        <x:v>atlas-meridian</x:v>
      </x:c>
      <x:c r="C20" s="12" t="n">
        <x:v>2031</x:v>
      </x:c>
      <x:c r="D20" s="13" t="n">
        <x:v>2672676.864</x:v>
      </x:c>
      <x:c r="E20" s="13" t="n">
        <x:v>0</x:v>
      </x:c>
      <x:c r="F20" s="13" t="n">
        <x:v>0</x:v>
      </x:c>
      <x:c r="G20" s="13" t="n">
        <x:v>106907.0772</x:v>
      </x:c>
      <x:c r="H20" s="13" t="n">
        <x:v>0</x:v>
      </x:c>
      <x:c r="I20" s="13" t="n">
        <x:v>0</x:v>
      </x:c>
      <x:c r="J20" s="13" t="n">
        <x:v>2779583.9412</x:v>
      </x:c>
      <x:c r="K20" s="14" t="n">
        <x:f>D20+E20+F20+G20-H20-I20-J20</x:f>
        <x:v>4.656612873077393e-10</x:v>
      </x:c>
    </x:row>
    <x:row r="21" ht="19" customHeight="1">
      <x:c r="A21" s="1" t="str">
        <x:v>downside</x:v>
      </x:c>
      <x:c r="B21" s="1" t="str">
        <x:v>foundry-field</x:v>
      </x:c>
      <x:c r="C21" s="12" t="n">
        <x:v>2027</x:v>
      </x:c>
      <x:c r="D21" s="13" t="n">
        <x:v>0</x:v>
      </x:c>
      <x:c r="E21" s="13" t="n">
        <x:v>54594000</x:v>
      </x:c>
      <x:c r="F21" s="13" t="n">
        <x:v>237600</x:v>
      </x:c>
      <x:c r="G21" s="13" t="n">
        <x:v>54000</x:v>
      </x:c>
      <x:c r="H21" s="13" t="n">
        <x:v>313200</x:v>
      </x:c>
      <x:c r="I21" s="13" t="n">
        <x:v>1728000</x:v>
      </x:c>
      <x:c r="J21" s="13" t="n">
        <x:v>52844400</x:v>
      </x:c>
      <x:c r="K21" s="14" t="n">
        <x:f>D21+E21+F21+G21-H21-I21-J21</x:f>
        <x:v>0</x:v>
      </x:c>
    </x:row>
    <x:row r="22" ht="19" customHeight="1">
      <x:c r="A22" s="1" t="str">
        <x:v>downside</x:v>
      </x:c>
      <x:c r="B22" s="1" t="str">
        <x:v>foundry-field</x:v>
      </x:c>
      <x:c r="C22" s="12" t="n">
        <x:v>2028</x:v>
      </x:c>
      <x:c r="D22" s="13" t="n">
        <x:v>52844400</x:v>
      </x:c>
      <x:c r="E22" s="13" t="n">
        <x:v>8262000</x:v>
      </x:c>
      <x:c r="F22" s="13" t="n">
        <x:v>0</x:v>
      </x:c>
      <x:c r="G22" s="13" t="n">
        <x:v>1728864</x:v>
      </x:c>
      <x:c r="H22" s="13" t="n">
        <x:v>0</x:v>
      </x:c>
      <x:c r="I22" s="13" t="n">
        <x:v>10746000</x:v>
      </x:c>
      <x:c r="J22" s="13" t="n">
        <x:v>52089264</x:v>
      </x:c>
      <x:c r="K22" s="14" t="n">
        <x:f>D22+E22+F22+G22-H22-I22-J22</x:f>
        <x:v>0</x:v>
      </x:c>
    </x:row>
    <x:row r="23" ht="19" customHeight="1">
      <x:c r="A23" s="1" t="str">
        <x:v>downside</x:v>
      </x:c>
      <x:c r="B23" s="1" t="str">
        <x:v>foundry-field</x:v>
      </x:c>
      <x:c r="C23" s="12" t="n">
        <x:v>2029</x:v>
      </x:c>
      <x:c r="D23" s="13" t="n">
        <x:v>52089264</x:v>
      </x:c>
      <x:c r="E23" s="13" t="n">
        <x:v>8424000</x:v>
      </x:c>
      <x:c r="F23" s="13" t="n">
        <x:v>0</x:v>
      </x:c>
      <x:c r="G23" s="13" t="n">
        <x:v>2027410.56</x:v>
      </x:c>
      <x:c r="H23" s="13" t="n">
        <x:v>0</x:v>
      </x:c>
      <x:c r="I23" s="13" t="n">
        <x:v>1404000</x:v>
      </x:c>
      <x:c r="J23" s="13" t="n">
        <x:v>61136674.56</x:v>
      </x:c>
      <x:c r="K23" s="14" t="n">
        <x:f>D23+E23+F23+G23-H23-I23-J23</x:f>
        <x:v>0</x:v>
      </x:c>
    </x:row>
    <x:row r="24" ht="19" customHeight="1">
      <x:c r="A24" s="1" t="str">
        <x:v>downside</x:v>
      </x:c>
      <x:c r="B24" s="1" t="str">
        <x:v>foundry-field</x:v>
      </x:c>
      <x:c r="C24" s="12" t="n">
        <x:v>2030</x:v>
      </x:c>
      <x:c r="D24" s="13" t="n">
        <x:v>61136674.56</x:v>
      </x:c>
      <x:c r="E24" s="13" t="n">
        <x:v>8586000</x:v>
      </x:c>
      <x:c r="F24" s="13" t="n">
        <x:v>0</x:v>
      </x:c>
      <x:c r="G24" s="13" t="n">
        <x:v>2376346.9824</x:v>
      </x:c>
      <x:c r="H24" s="13" t="n">
        <x:v>0</x:v>
      </x:c>
      <x:c r="I24" s="13" t="n">
        <x:v>1728000</x:v>
      </x:c>
      <x:c r="J24" s="13" t="n">
        <x:v>70371021.5424</x:v>
      </x:c>
      <x:c r="K24" s="14" t="n">
        <x:f>D24+E24+F24+G24-H24-I24-J24</x:f>
        <x:v>0</x:v>
      </x:c>
    </x:row>
    <x:row r="25" ht="19" customHeight="1">
      <x:c r="A25" s="1" t="str">
        <x:v>downside</x:v>
      </x:c>
      <x:c r="B25" s="1" t="str">
        <x:v>foundry-field</x:v>
      </x:c>
      <x:c r="C25" s="12" t="n">
        <x:v>2031</x:v>
      </x:c>
      <x:c r="D25" s="13" t="n">
        <x:v>70371021.5424</x:v>
      </x:c>
      <x:c r="E25" s="13" t="n">
        <x:v>2808000</x:v>
      </x:c>
      <x:c r="F25" s="13" t="n">
        <x:v>0</x:v>
      </x:c>
      <x:c r="G25" s="13" t="n">
        <x:v>2765160.8616</x:v>
      </x:c>
      <x:c r="H25" s="13" t="n">
        <x:v>0</x:v>
      </x:c>
      <x:c r="I25" s="13" t="n">
        <x:v>1242000</x:v>
      </x:c>
      <x:c r="J25" s="13" t="n">
        <x:v>74702182.404</x:v>
      </x:c>
      <x:c r="K25" s="14" t="n">
        <x:f>D25+E25+F25+G25-H25-I25-J25</x:f>
        <x:v>0</x:v>
      </x:c>
    </x:row>
    <x:row r="26" ht="19" customHeight="1">
      <x:c r="A26" s="1" t="str">
        <x:v>expansion</x:v>
      </x:c>
      <x:c r="B26" s="1" t="str">
        <x:v>atlas-meridian</x:v>
      </x:c>
      <x:c r="C26" s="12" t="n">
        <x:v>2027</x:v>
      </x:c>
      <x:c r="D26" s="13" t="n">
        <x:v>0</x:v>
      </x:c>
      <x:c r="E26" s="13" t="n">
        <x:v>3744000</x:v>
      </x:c>
      <x:c r="F26" s="13" t="n">
        <x:v>43680</x:v>
      </x:c>
      <x:c r="G26" s="13" t="n">
        <x:v>0</x:v>
      </x:c>
      <x:c r="H26" s="13" t="n">
        <x:v>0</x:v>
      </x:c>
      <x:c r="I26" s="13" t="n">
        <x:v>0</x:v>
      </x:c>
      <x:c r="J26" s="13" t="n">
        <x:v>3787680</x:v>
      </x:c>
      <x:c r="K26" s="14" t="n">
        <x:f>D26+E26+F26+G26-H26-I26-J26</x:f>
        <x:v>0</x:v>
      </x:c>
    </x:row>
    <x:row r="27" ht="19" customHeight="1">
      <x:c r="A27" s="1" t="str">
        <x:v>expansion</x:v>
      </x:c>
      <x:c r="B27" s="1" t="str">
        <x:v>atlas-meridian</x:v>
      </x:c>
      <x:c r="C27" s="12" t="n">
        <x:v>2028</x:v>
      </x:c>
      <x:c r="D27" s="13" t="n">
        <x:v>3787680</x:v>
      </x:c>
      <x:c r="E27" s="13" t="n">
        <x:v>0</x:v>
      </x:c>
      <x:c r="F27" s="13" t="n">
        <x:v>0</x:v>
      </x:c>
      <x:c r="G27" s="13" t="n">
        <x:v>139776</x:v>
      </x:c>
      <x:c r="H27" s="13" t="n">
        <x:v>0</x:v>
      </x:c>
      <x:c r="I27" s="13" t="n">
        <x:v>293280</x:v>
      </x:c>
      <x:c r="J27" s="13" t="n">
        <x:v>3634176</x:v>
      </x:c>
      <x:c r="K27" s="14" t="n">
        <x:f>D27+E27+F27+G27-H27-I27-J27</x:f>
        <x:v>0</x:v>
      </x:c>
    </x:row>
    <x:row r="28" ht="19" customHeight="1">
      <x:c r="A28" s="1" t="str">
        <x:v>expansion</x:v>
      </x:c>
      <x:c r="B28" s="1" t="str">
        <x:v>atlas-meridian</x:v>
      </x:c>
      <x:c r="C28" s="12" t="n">
        <x:v>2029</x:v>
      </x:c>
      <x:c r="D28" s="13" t="n">
        <x:v>3634176</x:v>
      </x:c>
      <x:c r="E28" s="13" t="n">
        <x:v>0</x:v>
      </x:c>
      <x:c r="F28" s="13" t="n">
        <x:v>0</x:v>
      </x:c>
      <x:c r="G28" s="13" t="n">
        <x:v>145367.04</x:v>
      </x:c>
      <x:c r="H28" s="13" t="n">
        <x:v>0</x:v>
      </x:c>
      <x:c r="I28" s="13" t="n">
        <x:v>0</x:v>
      </x:c>
      <x:c r="J28" s="13" t="n">
        <x:v>3779543.04</x:v>
      </x:c>
      <x:c r="K28" s="14" t="n">
        <x:f>D28+E28+F28+G28-H28-I28-J28</x:f>
        <x:v>0</x:v>
      </x:c>
    </x:row>
    <x:row r="29" ht="19" customHeight="1">
      <x:c r="A29" s="1" t="str">
        <x:v>expansion</x:v>
      </x:c>
      <x:c r="B29" s="1" t="str">
        <x:v>atlas-meridian</x:v>
      </x:c>
      <x:c r="C29" s="12" t="n">
        <x:v>2030</x:v>
      </x:c>
      <x:c r="D29" s="13" t="n">
        <x:v>3779543.04</x:v>
      </x:c>
      <x:c r="E29" s="13" t="n">
        <x:v>0</x:v>
      </x:c>
      <x:c r="F29" s="13" t="n">
        <x:v>0</x:v>
      </x:c>
      <x:c r="G29" s="13" t="n">
        <x:v>151181.7216</x:v>
      </x:c>
      <x:c r="H29" s="13" t="n">
        <x:v>0</x:v>
      </x:c>
      <x:c r="I29" s="13" t="n">
        <x:v>0</x:v>
      </x:c>
      <x:c r="J29" s="13" t="n">
        <x:v>3930724.7616</x:v>
      </x:c>
      <x:c r="K29" s="14" t="n">
        <x:f>D29+E29+F29+G29-H29-I29-J29</x:f>
        <x:v>0</x:v>
      </x:c>
    </x:row>
    <x:row r="30" ht="19" customHeight="1">
      <x:c r="A30" s="1" t="str">
        <x:v>expansion</x:v>
      </x:c>
      <x:c r="B30" s="1" t="str">
        <x:v>atlas-meridian</x:v>
      </x:c>
      <x:c r="C30" s="12" t="n">
        <x:v>2031</x:v>
      </x:c>
      <x:c r="D30" s="13" t="n">
        <x:v>3930724.7616</x:v>
      </x:c>
      <x:c r="E30" s="13" t="n">
        <x:v>0</x:v>
      </x:c>
      <x:c r="F30" s="13" t="n">
        <x:v>0</x:v>
      </x:c>
      <x:c r="G30" s="13" t="n">
        <x:v>157228.9884</x:v>
      </x:c>
      <x:c r="H30" s="13" t="n">
        <x:v>0</x:v>
      </x:c>
      <x:c r="I30" s="13" t="n">
        <x:v>0</x:v>
      </x:c>
      <x:c r="J30" s="13" t="n">
        <x:v>4087953.75</x:v>
      </x:c>
      <x:c r="K30" s="14" t="n">
        <x:f>D30+E30+F30+G30-H30-I30-J30</x:f>
        <x:v>0</x:v>
      </x:c>
    </x:row>
    <x:row r="31" ht="19" customHeight="1">
      <x:c r="A31" s="1" t="str">
        <x:v>expansion</x:v>
      </x:c>
      <x:c r="B31" s="1" t="str">
        <x:v>foundry-field</x:v>
      </x:c>
      <x:c r="C31" s="12" t="n">
        <x:v>2027</x:v>
      </x:c>
      <x:c r="D31" s="13" t="n">
        <x:v>0</x:v>
      </x:c>
      <x:c r="E31" s="13" t="n">
        <x:v>67953600</x:v>
      </x:c>
      <x:c r="F31" s="13" t="n">
        <x:v>386880</x:v>
      </x:c>
      <x:c r="G31" s="13" t="n">
        <x:v>62400</x:v>
      </x:c>
      <x:c r="H31" s="13" t="n">
        <x:v>361920</x:v>
      </x:c>
      <x:c r="I31" s="13" t="n">
        <x:v>1996800</x:v>
      </x:c>
      <x:c r="J31" s="13" t="n">
        <x:v>66044160</x:v>
      </x:c>
      <x:c r="K31" s="14" t="n">
        <x:f>D31+E31+F31+G31-H31-I31-J31</x:f>
        <x:v>0</x:v>
      </x:c>
    </x:row>
    <x:row r="32" ht="19" customHeight="1">
      <x:c r="A32" s="1" t="str">
        <x:v>expansion</x:v>
      </x:c>
      <x:c r="B32" s="1" t="str">
        <x:v>foundry-field</x:v>
      </x:c>
      <x:c r="C32" s="12" t="n">
        <x:v>2028</x:v>
      </x:c>
      <x:c r="D32" s="13" t="n">
        <x:v>66044160</x:v>
      </x:c>
      <x:c r="E32" s="13" t="n">
        <x:v>9921600</x:v>
      </x:c>
      <x:c r="F32" s="13" t="n">
        <x:v>0</x:v>
      </x:c>
      <x:c r="G32" s="13" t="n">
        <x:v>2441587.2</x:v>
      </x:c>
      <x:c r="H32" s="13" t="n">
        <x:v>0</x:v>
      </x:c>
      <x:c r="I32" s="13" t="n">
        <x:v>6302400</x:v>
      </x:c>
      <x:c r="J32" s="13" t="n">
        <x:v>72104947.2</x:v>
      </x:c>
      <x:c r="K32" s="14" t="n">
        <x:f>D32+E32+F32+G32-H32-I32-J32</x:f>
        <x:v>0</x:v>
      </x:c>
    </x:row>
    <x:row r="33" ht="19" customHeight="1">
      <x:c r="A33" s="1" t="str">
        <x:v>expansion</x:v>
      </x:c>
      <x:c r="B33" s="1" t="str">
        <x:v>foundry-field</x:v>
      </x:c>
      <x:c r="C33" s="12" t="n">
        <x:v>2029</x:v>
      </x:c>
      <x:c r="D33" s="13" t="n">
        <x:v>72104947.2</x:v>
      </x:c>
      <x:c r="E33" s="13" t="n">
        <x:v>10108800</x:v>
      </x:c>
      <x:c r="F33" s="13" t="n">
        <x:v>0</x:v>
      </x:c>
      <x:c r="G33" s="13" t="n">
        <x:v>2884197.888</x:v>
      </x:c>
      <x:c r="H33" s="13" t="n">
        <x:v>0</x:v>
      </x:c>
      <x:c r="I33" s="13" t="n">
        <x:v>0</x:v>
      </x:c>
      <x:c r="J33" s="13" t="n">
        <x:v>85097945.088</x:v>
      </x:c>
      <x:c r="K33" s="14" t="n">
        <x:f>D33+E33+F33+G33-H33-I33-J33</x:f>
        <x:v>0</x:v>
      </x:c>
    </x:row>
    <x:row r="34" ht="19" customHeight="1">
      <x:c r="A34" s="1" t="str">
        <x:v>expansion</x:v>
      </x:c>
      <x:c r="B34" s="1" t="str">
        <x:v>foundry-field</x:v>
      </x:c>
      <x:c r="C34" s="12" t="n">
        <x:v>2030</x:v>
      </x:c>
      <x:c r="D34" s="13" t="n">
        <x:v>85097945.088</x:v>
      </x:c>
      <x:c r="E34" s="13" t="n">
        <x:v>9360000</x:v>
      </x:c>
      <x:c r="F34" s="13" t="n">
        <x:v>0</x:v>
      </x:c>
      <x:c r="G34" s="13" t="n">
        <x:v>3403917.8028</x:v>
      </x:c>
      <x:c r="H34" s="13" t="n">
        <x:v>0</x:v>
      </x:c>
      <x:c r="I34" s="13" t="n">
        <x:v>0</x:v>
      </x:c>
      <x:c r="J34" s="13" t="n">
        <x:v>97861862.8908</x:v>
      </x:c>
      <x:c r="K34" s="14" t="n">
        <x:f>D34+E34+F34+G34-H34-I34-J34</x:f>
        <x:v>0</x:v>
      </x:c>
    </x:row>
    <x:row r="35" ht="19" customHeight="1">
      <x:c r="A35" s="1" t="str">
        <x:v>expansion</x:v>
      </x:c>
      <x:c r="B35" s="1" t="str">
        <x:v>foundry-field</x:v>
      </x:c>
      <x:c r="C35" s="12" t="n">
        <x:v>2031</x:v>
      </x:c>
      <x:c r="D35" s="13" t="n">
        <x:v>97861862.8908</x:v>
      </x:c>
      <x:c r="E35" s="13" t="n">
        <x:v>0</x:v>
      </x:c>
      <x:c r="F35" s="13" t="n">
        <x:v>0</x:v>
      </x:c>
      <x:c r="G35" s="13" t="n">
        <x:v>3842090.5104</x:v>
      </x:c>
      <x:c r="H35" s="13" t="n">
        <x:v>0</x:v>
      </x:c>
      <x:c r="I35" s="13" t="n">
        <x:v>1809600</x:v>
      </x:c>
      <x:c r="J35" s="13" t="n">
        <x:v>99894353.4012</x:v>
      </x:c>
      <x:c r="K35" s="14" t="n">
        <x:f>D35+E35+F35+G35-H35-I35-J35</x:f>
        <x:v>0</x:v>
      </x:c>
    </x:row>
  </x:sheetData>
  <x:conditionalFormatting sqref="K6:K35">
    <x:cfRule type="expression" dxfId="3" priority="1">
      <x:formula>ABS(K6)&gt;0.0001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19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3" t="str">
        <x:v>Financial source (USD)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19" customHeight="1">
      <x:c r="A3" s="5" t="str">
        <x:v>2026 retained calibration; 2027–2031 conditional scenarios. Source: integrated unit statements.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9" customHeight="1">
      <x:c r="A4" s="6" t="str">
        <x:v>Content: edd301ad6c9d319532dfd9ae79ecdbfd5456fa73aeec8e61da1ca6f9279317ac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36" customHeight="1">
      <x:c r="A5" s="11" t="str">
        <x:v>Business</x:v>
      </x:c>
      <x:c r="B5" s="11" t="str">
        <x:v>Scenario</x:v>
      </x:c>
      <x:c r="C5" s="11" t="str">
        <x:v>Year</x:v>
      </x:c>
      <x:c r="D5" s="11" t="str">
        <x:v>Revenue</x:v>
      </x:c>
      <x:c r="E5" s="11" t="str">
        <x:v>Expenses</x:v>
      </x:c>
      <x:c r="F5" s="11" t="str">
        <x:v>Net income</x:v>
      </x:c>
      <x:c r="G5" s="11" t="str">
        <x:v>Assets</x:v>
      </x:c>
      <x:c r="H5" s="11" t="str">
        <x:v>Liabilities</x:v>
      </x:c>
      <x:c r="I5" s="11" t="str">
        <x:v>Equity</x:v>
      </x:c>
      <x:c r="J5" s="11" t="str">
        <x:v>Ending cash</x:v>
      </x:c>
    </x:row>
    <x:row r="6" ht="19" customHeight="1">
      <x:c r="A6" s="1" t="str">
        <x:v>advisory</x:v>
      </x:c>
      <x:c r="B6" s="1" t="str">
        <x:v>base</x:v>
      </x:c>
      <x:c r="C6" s="12" t="n">
        <x:v>2026</x:v>
      </x:c>
      <x:c r="D6" s="13" t="n">
        <x:v>459959</x:v>
      </x:c>
      <x:c r="E6" s="13" t="n">
        <x:v>497024</x:v>
      </x:c>
      <x:c r="F6" s="13" t="n">
        <x:v>-37065</x:v>
      </x:c>
      <x:c r="G6" s="13" t="n">
        <x:v>459959</x:v>
      </x:c>
      <x:c r="H6" s="13" t="n">
        <x:v>497024</x:v>
      </x:c>
      <x:c r="I6" s="13" t="n">
        <x:v>-37065</x:v>
      </x:c>
      <x:c r="J6" s="13" t="n">
        <x:v>0</x:v>
      </x:c>
    </x:row>
    <x:row r="7" ht="19" customHeight="1">
      <x:c r="A7" s="1" t="str">
        <x:v>advisory</x:v>
      </x:c>
      <x:c r="B7" s="1" t="str">
        <x:v>base</x:v>
      </x:c>
      <x:c r="C7" s="12" t="n">
        <x:v>2027</x:v>
      </x:c>
      <x:c r="D7" s="13" t="n">
        <x:v>10030080</x:v>
      </x:c>
      <x:c r="E7" s="13" t="n">
        <x:v>5256712.8128</x:v>
      </x:c>
      <x:c r="F7" s="13" t="n">
        <x:v>4773367.1872</x:v>
      </x:c>
      <x:c r="G7" s="13" t="n">
        <x:v>6644766.1872</x:v>
      </x:c>
      <x:c r="H7" s="13" t="n">
        <x:v>1908464</x:v>
      </x:c>
      <x:c r="I7" s="13" t="n">
        <x:v>4736302.1872</x:v>
      </x:c>
      <x:c r="J7" s="13" t="n">
        <x:v>5447219.9872</x:v>
      </x:c>
    </x:row>
    <x:row r="8" ht="19" customHeight="1">
      <x:c r="A8" s="1" t="str">
        <x:v>advisory</x:v>
      </x:c>
      <x:c r="B8" s="1" t="str">
        <x:v>base</x:v>
      </x:c>
      <x:c r="C8" s="12" t="n">
        <x:v>2028</x:v>
      </x:c>
      <x:c r="D8" s="13" t="n">
        <x:v>12874080</x:v>
      </x:c>
      <x:c r="E8" s="13" t="n">
        <x:v>5453416.0128</x:v>
      </x:c>
      <x:c r="F8" s="13" t="n">
        <x:v>7420663.9872</x:v>
      </x:c>
      <x:c r="G8" s="13" t="n">
        <x:v>14065430.1744</x:v>
      </x:c>
      <x:c r="H8" s="13" t="n">
        <x:v>1908464</x:v>
      </x:c>
      <x:c r="I8" s="13" t="n">
        <x:v>12156966.1744</x:v>
      </x:c>
      <x:c r="J8" s="13" t="n">
        <x:v>12867883.9744</x:v>
      </x:c>
    </x:row>
    <x:row r="9" ht="19" customHeight="1">
      <x:c r="A9" s="1" t="str">
        <x:v>advisory</x:v>
      </x:c>
      <x:c r="B9" s="1" t="str">
        <x:v>base</x:v>
      </x:c>
      <x:c r="C9" s="12" t="n">
        <x:v>2029</x:v>
      </x:c>
      <x:c r="D9" s="13" t="n">
        <x:v>12874080</x:v>
      </x:c>
      <x:c r="E9" s="13" t="n">
        <x:v>5609461.0128</x:v>
      </x:c>
      <x:c r="F9" s="13" t="n">
        <x:v>7264618.9872</x:v>
      </x:c>
      <x:c r="G9" s="13" t="n">
        <x:v>21330049.1616</x:v>
      </x:c>
      <x:c r="H9" s="13" t="n">
        <x:v>1908464</x:v>
      </x:c>
      <x:c r="I9" s="13" t="n">
        <x:v>19421585.1616</x:v>
      </x:c>
      <x:c r="J9" s="13" t="n">
        <x:v>20132502.9616</x:v>
      </x:c>
    </x:row>
    <x:row r="10" ht="19" customHeight="1">
      <x:c r="A10" s="1" t="str">
        <x:v>advisory</x:v>
      </x:c>
      <x:c r="B10" s="1" t="str">
        <x:v>base</x:v>
      </x:c>
      <x:c r="C10" s="12" t="n">
        <x:v>2030</x:v>
      </x:c>
      <x:c r="D10" s="13" t="n">
        <x:v>12874080</x:v>
      </x:c>
      <x:c r="E10" s="13" t="n">
        <x:v>5770187.3436</x:v>
      </x:c>
      <x:c r="F10" s="13" t="n">
        <x:v>7103892.6564</x:v>
      </x:c>
      <x:c r="G10" s="13" t="n">
        <x:v>28433941.818</x:v>
      </x:c>
      <x:c r="H10" s="13" t="n">
        <x:v>1908464</x:v>
      </x:c>
      <x:c r="I10" s="13" t="n">
        <x:v>26525477.818</x:v>
      </x:c>
      <x:c r="J10" s="13" t="n">
        <x:v>27236395.618</x:v>
      </x:c>
    </x:row>
    <x:row r="11" ht="19" customHeight="1">
      <x:c r="A11" s="1" t="str">
        <x:v>advisory</x:v>
      </x:c>
      <x:c r="B11" s="1" t="str">
        <x:v>base</x:v>
      </x:c>
      <x:c r="C11" s="12" t="n">
        <x:v>2031</x:v>
      </x:c>
      <x:c r="D11" s="13" t="n">
        <x:v>12874080</x:v>
      </x:c>
      <x:c r="E11" s="13" t="n">
        <x:v>5935735.4784</x:v>
      </x:c>
      <x:c r="F11" s="13" t="n">
        <x:v>6938344.5216</x:v>
      </x:c>
      <x:c r="G11" s="13" t="n">
        <x:v>35372286.3396</x:v>
      </x:c>
      <x:c r="H11" s="13" t="n">
        <x:v>1908464</x:v>
      </x:c>
      <x:c r="I11" s="13" t="n">
        <x:v>33463822.3396</x:v>
      </x:c>
      <x:c r="J11" s="13" t="n">
        <x:v>34174740.1396</x:v>
      </x:c>
    </x:row>
    <x:row r="12" ht="19" customHeight="1">
      <x:c r="A12" s="1" t="str">
        <x:v>american-resource-utility</x:v>
      </x:c>
      <x:c r="B12" s="1" t="str">
        <x:v>base</x:v>
      </x:c>
      <x:c r="C12" s="12" t="n">
        <x:v>2026</x:v>
      </x:c>
      <x:c r="D12" s="13" t="n">
        <x:v>42425942</x:v>
      </x:c>
      <x:c r="E12" s="13" t="n">
        <x:v>39334715</x:v>
      </x:c>
      <x:c r="F12" s="13" t="n">
        <x:v>3091227</x:v>
      </x:c>
      <x:c r="G12" s="13" t="n">
        <x:v>112876806</x:v>
      </x:c>
      <x:c r="H12" s="13" t="n">
        <x:v>30070699</x:v>
      </x:c>
      <x:c r="I12" s="13" t="n">
        <x:v>82806107</x:v>
      </x:c>
      <x:c r="J12" s="13" t="n">
        <x:v>4198440</x:v>
      </x:c>
    </x:row>
    <x:row r="13" ht="19" customHeight="1">
      <x:c r="A13" s="1" t="str">
        <x:v>american-resource-utility</x:v>
      </x:c>
      <x:c r="B13" s="1" t="str">
        <x:v>base</x:v>
      </x:c>
      <x:c r="C13" s="12" t="n">
        <x:v>2027</x:v>
      </x:c>
      <x:c r="D13" s="13" t="n">
        <x:v>44922236</x:v>
      </x:c>
      <x:c r="E13" s="13" t="n">
        <x:v>41999617</x:v>
      </x:c>
      <x:c r="F13" s="13" t="n">
        <x:v>2922619</x:v>
      </x:c>
      <x:c r="G13" s="13" t="n">
        <x:v>111396318</x:v>
      </x:c>
      <x:c r="H13" s="13" t="n">
        <x:v>25667592</x:v>
      </x:c>
      <x:c r="I13" s="13" t="n">
        <x:v>85728726</x:v>
      </x:c>
      <x:c r="J13" s="13" t="n">
        <x:v>4124851</x:v>
      </x:c>
    </x:row>
    <x:row r="14" ht="19" customHeight="1">
      <x:c r="A14" s="1" t="str">
        <x:v>american-resource-utility</x:v>
      </x:c>
      <x:c r="B14" s="1" t="str">
        <x:v>base</x:v>
      </x:c>
      <x:c r="C14" s="12" t="n">
        <x:v>2028</x:v>
      </x:c>
      <x:c r="D14" s="13" t="n">
        <x:v>46587939</x:v>
      </x:c>
      <x:c r="E14" s="13" t="n">
        <x:v>43404237</x:v>
      </x:c>
      <x:c r="F14" s="13" t="n">
        <x:v>3183702</x:v>
      </x:c>
      <x:c r="G14" s="13" t="n">
        <x:v>112919498</x:v>
      </x:c>
      <x:c r="H14" s="13" t="n">
        <x:v>24007070</x:v>
      </x:c>
      <x:c r="I14" s="13" t="n">
        <x:v>88912428</x:v>
      </x:c>
      <x:c r="J14" s="13" t="n">
        <x:v>6194587</x:v>
      </x:c>
    </x:row>
    <x:row r="15" ht="19" customHeight="1">
      <x:c r="A15" s="1" t="str">
        <x:v>american-resource-utility</x:v>
      </x:c>
      <x:c r="B15" s="1" t="str">
        <x:v>base</x:v>
      </x:c>
      <x:c r="C15" s="12" t="n">
        <x:v>2029</x:v>
      </x:c>
      <x:c r="D15" s="13" t="n">
        <x:v>48237082</x:v>
      </x:c>
      <x:c r="E15" s="13" t="n">
        <x:v>44808512</x:v>
      </x:c>
      <x:c r="F15" s="13" t="n">
        <x:v>3428570</x:v>
      </x:c>
      <x:c r="G15" s="13" t="n">
        <x:v>114690000</x:v>
      </x:c>
      <x:c r="H15" s="13" t="n">
        <x:v>22349002</x:v>
      </x:c>
      <x:c r="I15" s="13" t="n">
        <x:v>92340998</x:v>
      </x:c>
      <x:c r="J15" s="13" t="n">
        <x:v>8636388</x:v>
      </x:c>
    </x:row>
    <x:row r="16" ht="19" customHeight="1">
      <x:c r="A16" s="1" t="str">
        <x:v>american-resource-utility</x:v>
      </x:c>
      <x:c r="B16" s="1" t="str">
        <x:v>base</x:v>
      </x:c>
      <x:c r="C16" s="12" t="n">
        <x:v>2030</x:v>
      </x:c>
      <x:c r="D16" s="13" t="n">
        <x:v>49939115</x:v>
      </x:c>
      <x:c r="E16" s="13" t="n">
        <x:v>46263160.2</x:v>
      </x:c>
      <x:c r="F16" s="13" t="n">
        <x:v>3675954.8</x:v>
      </x:c>
      <x:c r="G16" s="13" t="n">
        <x:v>116710173.8</x:v>
      </x:c>
      <x:c r="H16" s="13" t="n">
        <x:v>20693221</x:v>
      </x:c>
      <x:c r="I16" s="13" t="n">
        <x:v>96016952.8</x:v>
      </x:c>
      <x:c r="J16" s="13" t="n">
        <x:v>11468998.8</x:v>
      </x:c>
    </x:row>
    <x:row r="17" ht="19" customHeight="1">
      <x:c r="A17" s="1" t="str">
        <x:v>american-resource-utility</x:v>
      </x:c>
      <x:c r="B17" s="1" t="str">
        <x:v>base</x:v>
      </x:c>
      <x:c r="C17" s="12" t="n">
        <x:v>2031</x:v>
      </x:c>
      <x:c r="D17" s="13" t="n">
        <x:v>51722661</x:v>
      </x:c>
      <x:c r="E17" s="13" t="n">
        <x:v>47454698.286</x:v>
      </x:c>
      <x:c r="F17" s="13" t="n">
        <x:v>4267962.714</x:v>
      </x:c>
      <x:c r="G17" s="13" t="n">
        <x:v>120430594.514</x:v>
      </x:c>
      <x:c r="H17" s="13" t="n">
        <x:v>20145679</x:v>
      </x:c>
      <x:c r="I17" s="13" t="n">
        <x:v>100284915.514</x:v>
      </x:c>
      <x:c r="J17" s="13" t="n">
        <x:v>15636187.514</x:v>
      </x:c>
    </x:row>
    <x:row r="18" ht="19" customHeight="1">
      <x:c r="A18" s="1" t="str">
        <x:v>atlas-meridian</x:v>
      </x:c>
      <x:c r="B18" s="1" t="str">
        <x:v>base</x:v>
      </x:c>
      <x:c r="C18" s="12" t="n">
        <x:v>2026</x:v>
      </x:c>
      <x:c r="D18" s="13" t="n">
        <x:v>229979.5</x:v>
      </x:c>
      <x:c r="E18" s="13" t="n">
        <x:v>248512</x:v>
      </x:c>
      <x:c r="F18" s="13" t="n">
        <x:v>-18532.5</x:v>
      </x:c>
      <x:c r="G18" s="13" t="n">
        <x:v>229979.5</x:v>
      </x:c>
      <x:c r="H18" s="13" t="n">
        <x:v>248512</x:v>
      </x:c>
      <x:c r="I18" s="13" t="n">
        <x:v>-18532.5</x:v>
      </x:c>
      <x:c r="J18" s="13" t="n">
        <x:v>229979.5</x:v>
      </x:c>
    </x:row>
    <x:row r="19" ht="19" customHeight="1">
      <x:c r="A19" s="1" t="str">
        <x:v>atlas-meridian</x:v>
      </x:c>
      <x:c r="B19" s="1" t="str">
        <x:v>base</x:v>
      </x:c>
      <x:c r="C19" s="12" t="n">
        <x:v>2027</x:v>
      </x:c>
      <x:c r="D19" s="13" t="n">
        <x:v>4337500</x:v>
      </x:c>
      <x:c r="E19" s="13" t="n">
        <x:v>6668415.8188</x:v>
      </x:c>
      <x:c r="F19" s="13" t="n">
        <x:v>-2330915.8188</x:v>
      </x:c>
      <x:c r="G19" s="13" t="n">
        <x:v>-708136.3188</x:v>
      </x:c>
      <x:c r="H19" s="13" t="n">
        <x:v>1641312</x:v>
      </x:c>
      <x:c r="I19" s="13" t="n">
        <x:v>-2349448.3188</x:v>
      </x:c>
      <x:c r="J19" s="13" t="n">
        <x:v>-884536.3188</x:v>
      </x:c>
    </x:row>
    <x:row r="20" ht="19" customHeight="1">
      <x:c r="A20" s="1" t="str">
        <x:v>atlas-meridian</x:v>
      </x:c>
      <x:c r="B20" s="1" t="str">
        <x:v>base</x:v>
      </x:c>
      <x:c r="C20" s="12" t="n">
        <x:v>2028</x:v>
      </x:c>
      <x:c r="D20" s="13" t="n">
        <x:v>5539600</x:v>
      </x:c>
      <x:c r="E20" s="13" t="n">
        <x:v>7064276.4852</x:v>
      </x:c>
      <x:c r="F20" s="13" t="n">
        <x:v>-1524676.4852</x:v>
      </x:c>
      <x:c r="G20" s="13" t="n">
        <x:v>-2179412.804</x:v>
      </x:c>
      <x:c r="H20" s="13" t="n">
        <x:v>1694712</x:v>
      </x:c>
      <x:c r="I20" s="13" t="n">
        <x:v>-3874124.804</x:v>
      </x:c>
      <x:c r="J20" s="13" t="n">
        <x:v>-2362868.804</x:v>
      </x:c>
    </x:row>
    <x:row r="21" ht="19" customHeight="1">
      <x:c r="A21" s="1" t="str">
        <x:v>atlas-meridian</x:v>
      </x:c>
      <x:c r="B21" s="1" t="str">
        <x:v>base</x:v>
      </x:c>
      <x:c r="C21" s="12" t="n">
        <x:v>2029</x:v>
      </x:c>
      <x:c r="D21" s="13" t="n">
        <x:v>5677184</x:v>
      </x:c>
      <x:c r="E21" s="13" t="n">
        <x:v>7264359.7452</x:v>
      </x:c>
      <x:c r="F21" s="13" t="n">
        <x:v>-1587175.7452</x:v>
      </x:c>
      <x:c r="G21" s="13" t="n">
        <x:v>-3709596.5492</x:v>
      </x:c>
      <x:c r="H21" s="13" t="n">
        <x:v>1751704</x:v>
      </x:c>
      <x:c r="I21" s="13" t="n">
        <x:v>-5461300.5492</x:v>
      </x:c>
      <x:c r="J21" s="13" t="n">
        <x:v>-3900390.7892</x:v>
      </x:c>
    </x:row>
    <x:row r="22" ht="19" customHeight="1">
      <x:c r="A22" s="1" t="str">
        <x:v>atlas-meridian</x:v>
      </x:c>
      <x:c r="B22" s="1" t="str">
        <x:v>base</x:v>
      </x:c>
      <x:c r="C22" s="12" t="n">
        <x:v>2030</x:v>
      </x:c>
      <x:c r="D22" s="13" t="n">
        <x:v>5820271.36</x:v>
      </x:c>
      <x:c r="E22" s="13" t="n">
        <x:v>7470445.5828</x:v>
      </x:c>
      <x:c r="F22" s="13" t="n">
        <x:v>-1650174.2228</x:v>
      </x:c>
      <x:c r="G22" s="13" t="n">
        <x:v>-5300499.092</x:v>
      </x:c>
      <x:c r="H22" s="13" t="n">
        <x:v>1810975.68</x:v>
      </x:c>
      <x:c r="I22" s="13" t="n">
        <x:v>-7111474.772</x:v>
      </x:c>
      <x:c r="J22" s="13" t="n">
        <x:v>-5498925.1016</x:v>
      </x:c>
    </x:row>
    <x:row r="23" ht="19" customHeight="1">
      <x:c r="A23" s="1" t="str">
        <x:v>atlas-meridian</x:v>
      </x:c>
      <x:c r="B23" s="1" t="str">
        <x:v>base</x:v>
      </x:c>
      <x:c r="C23" s="12" t="n">
        <x:v>2031</x:v>
      </x:c>
      <x:c r="D23" s="13" t="n">
        <x:v>5969082.2144</x:v>
      </x:c>
      <x:c r="E23" s="13" t="n">
        <x:v>7682714.0048</x:v>
      </x:c>
      <x:c r="F23" s="13" t="n">
        <x:v>-1713631.7904</x:v>
      </x:c>
      <x:c r="G23" s="13" t="n">
        <x:v>-6952488.3352</x:v>
      </x:c>
      <x:c r="H23" s="13" t="n">
        <x:v>1872618.2272</x:v>
      </x:c>
      <x:c r="I23" s="13" t="n">
        <x:v>-8825106.5624</x:v>
      </x:c>
      <x:c r="J23" s="13" t="n">
        <x:v>-7158851.3852</x:v>
      </x:c>
    </x:row>
    <x:row r="24" ht="19" customHeight="1">
      <x:c r="A24" s="1" t="str">
        <x:v>corporate</x:v>
      </x:c>
      <x:c r="B24" s="1" t="str">
        <x:v>base</x:v>
      </x:c>
      <x:c r="C24" s="12" t="n">
        <x:v>2026</x:v>
      </x:c>
      <x:c r="D24" s="13" t="n">
        <x:v>0</x:v>
      </x:c>
      <x:c r="E24" s="13" t="n">
        <x:v>910950.4001</x:v>
      </x:c>
      <x:c r="F24" s="13" t="n">
        <x:v>-910950.4001</x:v>
      </x:c>
      <x:c r="G24" s="13" t="n">
        <x:v>275169865.1334</x:v>
      </x:c>
      <x:c r="H24" s="13" t="n">
        <x:v>35302666.6668</x:v>
      </x:c>
      <x:c r="I24" s="13" t="n">
        <x:v>239867198.4666</x:v>
      </x:c>
      <x:c r="J24" s="13" t="n">
        <x:v>11893098.8667</x:v>
      </x:c>
    </x:row>
    <x:row r="25" ht="19" customHeight="1">
      <x:c r="A25" s="1" t="str">
        <x:v>corporate</x:v>
      </x:c>
      <x:c r="B25" s="1" t="str">
        <x:v>base</x:v>
      </x:c>
      <x:c r="C25" s="12" t="n">
        <x:v>2027</x:v>
      </x:c>
      <x:c r="D25" s="13" t="n">
        <x:v>999999.9996</x:v>
      </x:c>
      <x:c r="E25" s="13" t="n">
        <x:v>39002325.9383</x:v>
      </x:c>
      <x:c r="F25" s="13" t="n">
        <x:v>-38002325.9387</x:v>
      </x:c>
      <x:c r="G25" s="13" t="n">
        <x:v>253799868.6854</x:v>
      </x:c>
      <x:c r="H25" s="13" t="n">
        <x:v>32927485.7668</x:v>
      </x:c>
      <x:c r="I25" s="13" t="n">
        <x:v>220872382.9186</x:v>
      </x:c>
      <x:c r="J25" s="13" t="n">
        <x:v>-19194942.7565</x:v>
      </x:c>
    </x:row>
    <x:row r="26" ht="19" customHeight="1">
      <x:c r="A26" s="1" t="str">
        <x:v>corporate</x:v>
      </x:c>
      <x:c r="B26" s="1" t="str">
        <x:v>base</x:v>
      </x:c>
      <x:c r="C26" s="12" t="n">
        <x:v>2028</x:v>
      </x:c>
      <x:c r="D26" s="13" t="n">
        <x:v>1029999.9996</x:v>
      </x:c>
      <x:c r="E26" s="13" t="n">
        <x:v>40210334.272</x:v>
      </x:c>
      <x:c r="F26" s="13" t="n">
        <x:v>-39180334.2724</x:v>
      </x:c>
      <x:c r="G26" s="13" t="n">
        <x:v>217913491.8643</x:v>
      </x:c>
      <x:c r="H26" s="13" t="n">
        <x:v>31727485.7668</x:v>
      </x:c>
      <x:c r="I26" s="13" t="n">
        <x:v>186186006.0975</x:v>
      </x:c>
      <x:c r="J26" s="13" t="n">
        <x:v>-56839659.2528</x:v>
      </x:c>
    </x:row>
    <x:row r="27" ht="19" customHeight="1">
      <x:c r="A27" s="1" t="str">
        <x:v>corporate</x:v>
      </x:c>
      <x:c r="B27" s="1" t="str">
        <x:v>base</x:v>
      </x:c>
      <x:c r="C27" s="12" t="n">
        <x:v>2029</x:v>
      </x:c>
      <x:c r="D27" s="13" t="n">
        <x:v>1060899.9996</x:v>
      </x:c>
      <x:c r="E27" s="13" t="n">
        <x:v>41218263.272</x:v>
      </x:c>
      <x:c r="F27" s="13" t="n">
        <x:v>-40157363.2724</x:v>
      </x:c>
      <x:c r="G27" s="13" t="n">
        <x:v>176556128.5919</x:v>
      </x:c>
      <x:c r="H27" s="13" t="n">
        <x:v>30527485.7668</x:v>
      </x:c>
      <x:c r="I27" s="13" t="n">
        <x:v>146028642.8251</x:v>
      </x:c>
      <x:c r="J27" s="13" t="n">
        <x:v>-97265848.2004</x:v>
      </x:c>
    </x:row>
    <x:row r="28" ht="19" customHeight="1">
      <x:c r="A28" s="1" t="str">
        <x:v>corporate</x:v>
      </x:c>
      <x:c r="B28" s="1" t="str">
        <x:v>base</x:v>
      </x:c>
      <x:c r="C28" s="12" t="n">
        <x:v>2030</x:v>
      </x:c>
      <x:c r="D28" s="13" t="n">
        <x:v>1092726.9996</x:v>
      </x:c>
      <x:c r="E28" s="13" t="n">
        <x:v>42232247.75</x:v>
      </x:c>
      <x:c r="F28" s="13" t="n">
        <x:v>-41139520.7504</x:v>
      </x:c>
      <x:c r="G28" s="13" t="n">
        <x:v>134216607.8415</x:v>
      </x:c>
      <x:c r="H28" s="13" t="n">
        <x:v>29327485.7668</x:v>
      </x:c>
      <x:c r="I28" s="13" t="n">
        <x:v>104889122.0747</x:v>
      </x:c>
      <x:c r="J28" s="13" t="n">
        <x:v>-138686925.426</x:v>
      </x:c>
    </x:row>
    <x:row r="29" ht="19" customHeight="1">
      <x:c r="A29" s="1" t="str">
        <x:v>corporate</x:v>
      </x:c>
      <x:c r="B29" s="1" t="str">
        <x:v>base</x:v>
      </x:c>
      <x:c r="C29" s="12" t="n">
        <x:v>2031</x:v>
      </x:c>
      <x:c r="D29" s="13" t="n">
        <x:v>1125508.8096</x:v>
      </x:c>
      <x:c r="E29" s="13" t="n">
        <x:v>43278991.538</x:v>
      </x:c>
      <x:c r="F29" s="13" t="n">
        <x:v>-42153482.7284</x:v>
      </x:c>
      <x:c r="G29" s="13" t="n">
        <x:v>90863125.1131</x:v>
      </x:c>
      <x:c r="H29" s="13" t="n">
        <x:v>28127485.7668</x:v>
      </x:c>
      <x:c r="I29" s="13" t="n">
        <x:v>62735639.3463</x:v>
      </x:c>
      <x:c r="J29" s="13" t="n">
        <x:v>-181135077.3536</x:v>
      </x:c>
    </x:row>
    <x:row r="30" ht="19" customHeight="1">
      <x:c r="A30" s="1" t="str">
        <x:v>eliminations</x:v>
      </x:c>
      <x:c r="B30" s="1" t="str">
        <x:v>base</x:v>
      </x:c>
      <x:c r="C30" s="12" t="n">
        <x:v>2026</x:v>
      </x:c>
      <x:c r="D30" s="13" t="n">
        <x:v>-1671380</x:v>
      </x:c>
      <x:c r="E30" s="13" t="n">
        <x:v>-1671380</x:v>
      </x:c>
      <x:c r="F30" s="13" t="n">
        <x:v>0</x:v>
      </x:c>
      <x:c r="G30" s="13" t="n">
        <x:v>-302986399</x:v>
      </x:c>
      <x:c r="H30" s="13" t="n">
        <x:v>-49240</x:v>
      </x:c>
      <x:c r="I30" s="13" t="n">
        <x:v>-302937159</x:v>
      </x:c>
      <x:c r="J30" s="13" t="n">
        <x:v>0</x:v>
      </x:c>
    </x:row>
    <x:row r="31" ht="19" customHeight="1">
      <x:c r="A31" s="1" t="str">
        <x:v>eliminations</x:v>
      </x:c>
      <x:c r="B31" s="1" t="str">
        <x:v>base</x:v>
      </x:c>
      <x:c r="C31" s="12" t="n">
        <x:v>2027</x:v>
      </x:c>
      <x:c r="D31" s="13" t="n">
        <x:v>-3034293.8567</x:v>
      </x:c>
      <x:c r="E31" s="13" t="n">
        <x:v>-3034293.8567</x:v>
      </x:c>
      <x:c r="F31" s="13" t="n">
        <x:v>0</x:v>
      </x:c>
      <x:c r="G31" s="13" t="n">
        <x:v>-320422460.9996</x:v>
      </x:c>
      <x:c r="H31" s="13" t="n">
        <x:v>-440024.9996</x:v>
      </x:c>
      <x:c r="I31" s="13" t="n">
        <x:v>-319982436</x:v>
      </x:c>
      <x:c r="J31" s="13" t="n">
        <x:v>0</x:v>
      </x:c>
    </x:row>
    <x:row r="32" ht="19" customHeight="1">
      <x:c r="A32" s="1" t="str">
        <x:v>eliminations</x:v>
      </x:c>
      <x:c r="B32" s="1" t="str">
        <x:v>base</x:v>
      </x:c>
      <x:c r="C32" s="12" t="n">
        <x:v>2028</x:v>
      </x:c>
      <x:c r="D32" s="13" t="n">
        <x:v>-3123562.8567</x:v>
      </x:c>
      <x:c r="E32" s="13" t="n">
        <x:v>-3123562.8567</x:v>
      </x:c>
      <x:c r="F32" s="13" t="n">
        <x:v>0</x:v>
      </x:c>
      <x:c r="G32" s="13" t="n">
        <x:v>-324885584.9992</x:v>
      </x:c>
      <x:c r="H32" s="13" t="n">
        <x:v>-850337.9992</x:v>
      </x:c>
      <x:c r="I32" s="13" t="n">
        <x:v>-324035247</x:v>
      </x:c>
      <x:c r="J32" s="13" t="n">
        <x:v>0</x:v>
      </x:c>
    </x:row>
    <x:row r="33" ht="19" customHeight="1">
      <x:c r="A33" s="1" t="str">
        <x:v>eliminations</x:v>
      </x:c>
      <x:c r="B33" s="1" t="str">
        <x:v>base</x:v>
      </x:c>
      <x:c r="C33" s="12" t="n">
        <x:v>2029</x:v>
      </x:c>
      <x:c r="D33" s="13" t="n">
        <x:v>-3137661.8567</x:v>
      </x:c>
      <x:c r="E33" s="13" t="n">
        <x:v>-3137661.8567</x:v>
      </x:c>
      <x:c r="F33" s="13" t="n">
        <x:v>0</x:v>
      </x:c>
      <x:c r="G33" s="13" t="n">
        <x:v>-325307465.9988</x:v>
      </x:c>
      <x:c r="H33" s="13" t="n">
        <x:v>-1272218.9988</x:v>
      </x:c>
      <x:c r="I33" s="13" t="n">
        <x:v>-324035247</x:v>
      </x:c>
      <x:c r="J33" s="13" t="n">
        <x:v>0</x:v>
      </x:c>
    </x:row>
    <x:row r="34" ht="19" customHeight="1">
      <x:c r="A34" s="1" t="str">
        <x:v>eliminations</x:v>
      </x:c>
      <x:c r="B34" s="1" t="str">
        <x:v>base</x:v>
      </x:c>
      <x:c r="C34" s="12" t="n">
        <x:v>2030</x:v>
      </x:c>
      <x:c r="D34" s="13" t="n">
        <x:v>-3142744.9996</x:v>
      </x:c>
      <x:c r="E34" s="13" t="n">
        <x:v>-3142744.9996</x:v>
      </x:c>
      <x:c r="F34" s="13" t="n">
        <x:v>0</x:v>
      </x:c>
      <x:c r="G34" s="13" t="n">
        <x:v>-325730163.7984</x:v>
      </x:c>
      <x:c r="H34" s="13" t="n">
        <x:v>-1694916.7984</x:v>
      </x:c>
      <x:c r="I34" s="13" t="n">
        <x:v>-324035247</x:v>
      </x:c>
      <x:c r="J34" s="13" t="n">
        <x:v>0</x:v>
      </x:c>
    </x:row>
    <x:row r="35" ht="19" customHeight="1">
      <x:c r="A35" s="1" t="str">
        <x:v>eliminations</x:v>
      </x:c>
      <x:c r="B35" s="1" t="str">
        <x:v>base</x:v>
      </x:c>
      <x:c r="C35" s="12" t="n">
        <x:v>2031</x:v>
      </x:c>
      <x:c r="D35" s="13" t="n">
        <x:v>-3164624.0953</x:v>
      </x:c>
      <x:c r="E35" s="13" t="n">
        <x:v>-3164624.0953</x:v>
      </x:c>
      <x:c r="F35" s="13" t="n">
        <x:v>0</x:v>
      </x:c>
      <x:c r="G35" s="13" t="n">
        <x:v>-326167646.322</x:v>
      </x:c>
      <x:c r="H35" s="13" t="n">
        <x:v>-2132399.322</x:v>
      </x:c>
      <x:c r="I35" s="13" t="n">
        <x:v>-324035247</x:v>
      </x:c>
      <x:c r="J35" s="13" t="n">
        <x:v>0</x:v>
      </x:c>
    </x:row>
    <x:row r="36" ht="19" customHeight="1">
      <x:c r="A36" s="1" t="str">
        <x:v>foundry-field</x:v>
      </x:c>
      <x:c r="B36" s="1" t="str">
        <x:v>base</x:v>
      </x:c>
      <x:c r="C36" s="12" t="n">
        <x:v>2026</x:v>
      </x:c>
      <x:c r="D36" s="13" t="n">
        <x:v>129380082</x:v>
      </x:c>
      <x:c r="E36" s="13" t="n">
        <x:v>139503160.3667</x:v>
      </x:c>
      <x:c r="F36" s="13" t="n">
        <x:v>-10123078.3667</x:v>
      </x:c>
      <x:c r="G36" s="13" t="n">
        <x:v>-10123078.3667</x:v>
      </x:c>
      <x:c r="H36" s="13" t="n">
        <x:v>0</x:v>
      </x:c>
      <x:c r="I36" s="13" t="n">
        <x:v>-10123078.3667</x:v>
      </x:c>
      <x:c r="J36" s="13" t="n">
        <x:v>-10123078.3667</x:v>
      </x:c>
    </x:row>
    <x:row r="37" ht="19" customHeight="1">
      <x:c r="A37" s="1" t="str">
        <x:v>foundry-field</x:v>
      </x:c>
      <x:c r="B37" s="1" t="str">
        <x:v>base</x:v>
      </x:c>
      <x:c r="C37" s="12" t="n">
        <x:v>2027</x:v>
      </x:c>
      <x:c r="D37" s="13" t="n">
        <x:v>57725500</x:v>
      </x:c>
      <x:c r="E37" s="13" t="n">
        <x:v>25473916.6025</x:v>
      </x:c>
      <x:c r="F37" s="13" t="n">
        <x:v>32251583.3975</x:v>
      </x:c>
      <x:c r="G37" s="13" t="n">
        <x:v>28133105.0308</x:v>
      </x:c>
      <x:c r="H37" s="13" t="n">
        <x:v>6004600</x:v>
      </x:c>
      <x:c r="I37" s="13" t="n">
        <x:v>22128505.0308</x:v>
      </x:c>
      <x:c r="J37" s="13" t="n">
        <x:v>26498705.0308</x:v>
      </x:c>
    </x:row>
    <x:row r="38" ht="19" customHeight="1">
      <x:c r="A38" s="1" t="str">
        <x:v>foundry-field</x:v>
      </x:c>
      <x:c r="B38" s="1" t="str">
        <x:v>base</x:v>
      </x:c>
      <x:c r="C38" s="12" t="n">
        <x:v>2028</x:v>
      </x:c>
      <x:c r="D38" s="13" t="n">
        <x:v>61277920</x:v>
      </x:c>
      <x:c r="E38" s="13" t="n">
        <x:v>25349197.9356</x:v>
      </x:c>
      <x:c r="F38" s="13" t="n">
        <x:v>35928722.0644</x:v>
      </x:c>
      <x:c r="G38" s="13" t="n">
        <x:v>71021867.0952</x:v>
      </x:c>
      <x:c r="H38" s="13" t="n">
        <x:v>12964640</x:v>
      </x:c>
      <x:c r="I38" s="13" t="n">
        <x:v>58057227.0952</x:v>
      </x:c>
      <x:c r="J38" s="13" t="n">
        <x:v>67669115.0952</x:v>
      </x:c>
    </x:row>
    <x:row r="39" ht="19" customHeight="1">
      <x:c r="A39" s="1" t="str">
        <x:v>foundry-field</x:v>
      </x:c>
      <x:c r="B39" s="1" t="str">
        <x:v>base</x:v>
      </x:c>
      <x:c r="C39" s="12" t="n">
        <x:v>2029</x:v>
      </x:c>
      <x:c r="D39" s="13" t="n">
        <x:v>73072076.8</x:v>
      </x:c>
      <x:c r="E39" s="13" t="n">
        <x:v>26266400.3556</x:v>
      </x:c>
      <x:c r="F39" s="13" t="n">
        <x:v>46805676.4444</x:v>
      </x:c>
      <x:c r="G39" s="13" t="n">
        <x:v>125317817.1396</x:v>
      </x:c>
      <x:c r="H39" s="13" t="n">
        <x:v>20454913.6</x:v>
      </x:c>
      <x:c r="I39" s="13" t="n">
        <x:v>104862903.5396</x:v>
      </x:c>
      <x:c r="J39" s="13" t="n">
        <x:v>119999659.0596</x:v>
      </x:c>
    </x:row>
    <x:row r="40" ht="19" customHeight="1">
      <x:c r="A40" s="1" t="str">
        <x:v>foundry-field</x:v>
      </x:c>
      <x:c r="B40" s="1" t="str">
        <x:v>base</x:v>
      </x:c>
      <x:c r="C40" s="12" t="n">
        <x:v>2030</x:v>
      </x:c>
      <x:c r="D40" s="13" t="n">
        <x:v>85476159.872</x:v>
      </x:c>
      <x:c r="E40" s="13" t="n">
        <x:v>27192245.364</x:v>
      </x:c>
      <x:c r="F40" s="13" t="n">
        <x:v>58283914.508</x:v>
      </x:c>
      <x:c r="G40" s="13" t="n">
        <x:v>190880968.1916</x:v>
      </x:c>
      <x:c r="H40" s="13" t="n">
        <x:v>27734150.144</x:v>
      </x:c>
      <x:c r="I40" s="13" t="n">
        <x:v>163146818.0476</x:v>
      </x:c>
      <x:c r="J40" s="13" t="n">
        <x:v>184222467.7884</x:v>
      </x:c>
    </x:row>
    <x:row r="41" ht="19" customHeight="1">
      <x:c r="A41" s="1" t="str">
        <x:v>foundry-field</x:v>
      </x:c>
      <x:c r="B41" s="1" t="str">
        <x:v>base</x:v>
      </x:c>
      <x:c r="C41" s="12" t="n">
        <x:v>2031</x:v>
      </x:c>
      <x:c r="D41" s="13" t="n">
        <x:v>94055606.2668</x:v>
      </x:c>
      <x:c r="E41" s="13" t="n">
        <x:v>28058869.9867</x:v>
      </x:c>
      <x:c r="F41" s="13" t="n">
        <x:v>65996736.2801</x:v>
      </x:c>
      <x:c r="G41" s="13" t="n">
        <x:v>256897262.4773</x:v>
      </x:c>
      <x:c r="H41" s="13" t="n">
        <x:v>27753708.1496</x:v>
      </x:c>
      <x:c r="I41" s="13" t="n">
        <x:v>229143554.3277</x:v>
      </x:c>
      <x:c r="J41" s="13" t="n">
        <x:v>250136486.058</x:v>
      </x:c>
    </x:row>
    <x:row r="42" ht="19" customHeight="1">
      <x:c r="A42" s="1" t="str">
        <x:v>pale-sun</x:v>
      </x:c>
      <x:c r="B42" s="1" t="str">
        <x:v>base</x:v>
      </x:c>
      <x:c r="C42" s="12" t="n">
        <x:v>2026</x:v>
      </x:c>
      <x:c r="D42" s="13" t="n">
        <x:v>37975000</x:v>
      </x:c>
      <x:c r="E42" s="13" t="n">
        <x:v>37376659</x:v>
      </x:c>
      <x:c r="F42" s="13" t="n">
        <x:v>598341</x:v>
      </x:c>
      <x:c r="G42" s="13" t="n">
        <x:v>130839999</x:v>
      </x:c>
      <x:c r="H42" s="13" t="n">
        <x:v>22831108</x:v>
      </x:c>
      <x:c r="I42" s="13" t="n">
        <x:v>108008891</x:v>
      </x:c>
      <x:c r="J42" s="13" t="n">
        <x:v>2000000</x:v>
      </x:c>
    </x:row>
    <x:row r="43" ht="19" customHeight="1">
      <x:c r="A43" s="1" t="str">
        <x:v>pale-sun</x:v>
      </x:c>
      <x:c r="B43" s="1" t="str">
        <x:v>base</x:v>
      </x:c>
      <x:c r="C43" s="12" t="n">
        <x:v>2027</x:v>
      </x:c>
      <x:c r="D43" s="13" t="n">
        <x:v>43958127.8571</x:v>
      </x:c>
      <x:c r="E43" s="13" t="n">
        <x:v>43823154.8567</x:v>
      </x:c>
      <x:c r="F43" s="13" t="n">
        <x:v>134973.0004</x:v>
      </x:c>
      <x:c r="G43" s="13" t="n">
        <x:v>140589940</x:v>
      </x:c>
      <x:c r="H43" s="13" t="n">
        <x:v>21082557.9996</x:v>
      </x:c>
      <x:c r="I43" s="13" t="n">
        <x:v>119507382.0004</x:v>
      </x:c>
      <x:c r="J43" s="13" t="n">
        <x:v>2314804</x:v>
      </x:c>
    </x:row>
    <x:row r="44" ht="19" customHeight="1">
      <x:c r="A44" s="1" t="str">
        <x:v>pale-sun</x:v>
      </x:c>
      <x:c r="B44" s="1" t="str">
        <x:v>base</x:v>
      </x:c>
      <x:c r="C44" s="12" t="n">
        <x:v>2028</x:v>
      </x:c>
      <x:c r="D44" s="13" t="n">
        <x:v>46366889.8571</x:v>
      </x:c>
      <x:c r="E44" s="13" t="n">
        <x:v>46553073.8567</x:v>
      </x:c>
      <x:c r="F44" s="13" t="n">
        <x:v>-186183.9996</x:v>
      </x:c>
      <x:c r="G44" s="13" t="n">
        <x:v>144425984</x:v>
      </x:c>
      <x:c r="H44" s="13" t="n">
        <x:v>22402911.9992</x:v>
      </x:c>
      <x:c r="I44" s="13" t="n">
        <x:v>122023072.0008</x:v>
      </x:c>
      <x:c r="J44" s="13" t="n">
        <x:v>3488452</x:v>
      </x:c>
    </x:row>
    <x:row r="45" ht="19" customHeight="1">
      <x:c r="A45" s="1" t="str">
        <x:v>pale-sun</x:v>
      </x:c>
      <x:c r="B45" s="1" t="str">
        <x:v>base</x:v>
      </x:c>
      <x:c r="C45" s="12" t="n">
        <x:v>2029</x:v>
      </x:c>
      <x:c r="D45" s="13" t="n">
        <x:v>48908612.8571</x:v>
      </x:c>
      <x:c r="E45" s="13" t="n">
        <x:v>49405795.8567</x:v>
      </x:c>
      <x:c r="F45" s="13" t="n">
        <x:v>-497182.9996</x:v>
      </x:c>
      <x:c r="G45" s="13" t="n">
        <x:v>145313146</x:v>
      </x:c>
      <x:c r="H45" s="13" t="n">
        <x:v>23787256.9988</x:v>
      </x:c>
      <x:c r="I45" s="13" t="n">
        <x:v>121525889.0012</x:v>
      </x:c>
      <x:c r="J45" s="13" t="n">
        <x:v>6243228</x:v>
      </x:c>
    </x:row>
    <x:row r="46" ht="19" customHeight="1">
      <x:c r="A46" s="1" t="str">
        <x:v>pale-sun</x:v>
      </x:c>
      <x:c r="B46" s="1" t="str">
        <x:v>base</x:v>
      </x:c>
      <x:c r="C46" s="12" t="n">
        <x:v>2030</x:v>
      </x:c>
      <x:c r="D46" s="13" t="n">
        <x:v>51557460</x:v>
      </x:c>
      <x:c r="E46" s="13" t="n">
        <x:v>52368274.7996</x:v>
      </x:c>
      <x:c r="F46" s="13" t="n">
        <x:v>-810814.7996</x:v>
      </x:c>
      <x:c r="G46" s="13" t="n">
        <x:v>140161457</x:v>
      </x:c>
      <x:c r="H46" s="13" t="n">
        <x:v>19446382.7984</x:v>
      </x:c>
      <x:c r="I46" s="13" t="n">
        <x:v>120715074.2016</x:v>
      </x:c>
      <x:c r="J46" s="13" t="n">
        <x:v>4177687</x:v>
      </x:c>
    </x:row>
    <x:row r="47" ht="19" customHeight="1">
      <x:c r="A47" s="1" t="str">
        <x:v>pale-sun</x:v>
      </x:c>
      <x:c r="B47" s="1" t="str">
        <x:v>base</x:v>
      </x:c>
      <x:c r="C47" s="12" t="n">
        <x:v>2031</x:v>
      </x:c>
      <x:c r="D47" s="13" t="n">
        <x:v>48629526.2857</x:v>
      </x:c>
      <x:c r="E47" s="13" t="n">
        <x:v>50320741.8093</x:v>
      </x:c>
      <x:c r="F47" s="13" t="n">
        <x:v>-1691215.5236</x:v>
      </x:c>
      <x:c r="G47" s="13" t="n">
        <x:v>139609146</x:v>
      </x:c>
      <x:c r="H47" s="13" t="n">
        <x:v>20585287.322</x:v>
      </x:c>
      <x:c r="I47" s="13" t="n">
        <x:v>119023858.678</x:v>
      </x:c>
      <x:c r="J47" s="13" t="n">
        <x:v>4012335</x:v>
      </x:c>
    </x:row>
    <x:row r="48" ht="19" customHeight="1">
      <x:c r="A48" s="1" t="str">
        <x:v>project-cradle</x:v>
      </x:c>
      <x:c r="B48" s="1" t="str">
        <x:v>base</x:v>
      </x:c>
      <x:c r="C48" s="12" t="n">
        <x:v>2026</x:v>
      </x:c>
      <x:c r="D48" s="13" t="n">
        <x:v>229979.5</x:v>
      </x:c>
      <x:c r="E48" s="13" t="n">
        <x:v>294507.9</x:v>
      </x:c>
      <x:c r="F48" s="13" t="n">
        <x:v>-64528.4</x:v>
      </x:c>
      <x:c r="G48" s="13" t="n">
        <x:v>229979.5</x:v>
      </x:c>
      <x:c r="H48" s="13" t="n">
        <x:v>294507.9</x:v>
      </x:c>
      <x:c r="I48" s="13" t="n">
        <x:v>-64528.4</x:v>
      </x:c>
      <x:c r="J48" s="13" t="n">
        <x:v>0</x:v>
      </x:c>
    </x:row>
    <x:row r="49" ht="19" customHeight="1">
      <x:c r="A49" s="1" t="str">
        <x:v>project-cradle</x:v>
      </x:c>
      <x:c r="B49" s="1" t="str">
        <x:v>base</x:v>
      </x:c>
      <x:c r="C49" s="12" t="n">
        <x:v>2027</x:v>
      </x:c>
      <x:c r="D49" s="13" t="n">
        <x:v>1007059.68</x:v>
      </x:c>
      <x:c r="E49" s="13" t="n">
        <x:v>2952656.3384</x:v>
      </x:c>
      <x:c r="F49" s="13" t="n">
        <x:v>-1945596.6584</x:v>
      </x:c>
      <x:c r="G49" s="13" t="n">
        <x:v>-1644653.2304</x:v>
      </x:c>
      <x:c r="H49" s="13" t="n">
        <x:v>365471.828</x:v>
      </x:c>
      <x:c r="I49" s="13" t="n">
        <x:v>-2010125.0584</x:v>
      </x:c>
      <x:c r="J49" s="13" t="n">
        <x:v>-3034689.2393</x:v>
      </x:c>
    </x:row>
    <x:row r="50" ht="19" customHeight="1">
      <x:c r="A50" s="1" t="str">
        <x:v>project-cradle</x:v>
      </x:c>
      <x:c r="B50" s="1" t="str">
        <x:v>base</x:v>
      </x:c>
      <x:c r="C50" s="12" t="n">
        <x:v>2028</x:v>
      </x:c>
      <x:c r="D50" s="13" t="n">
        <x:v>1210112.64</x:v>
      </x:c>
      <x:c r="E50" s="13" t="n">
        <x:v>3242358.9566</x:v>
      </x:c>
      <x:c r="F50" s="13" t="n">
        <x:v>-2032246.3166</x:v>
      </x:c>
      <x:c r="G50" s="13" t="n">
        <x:v>-3676899.547</x:v>
      </x:c>
      <x:c r="H50" s="13" t="n">
        <x:v>365471.828</x:v>
      </x:c>
      <x:c r="I50" s="13" t="n">
        <x:v>-4042371.375</x:v>
      </x:c>
      <x:c r="J50" s="13" t="n">
        <x:v>-4867795.0949</x:v>
      </x:c>
    </x:row>
    <x:row r="51" ht="19" customHeight="1">
      <x:c r="A51" s="1" t="str">
        <x:v>project-cradle</x:v>
      </x:c>
      <x:c r="B51" s="1" t="str">
        <x:v>base</x:v>
      </x:c>
      <x:c r="C51" s="12" t="n">
        <x:v>2029</x:v>
      </x:c>
      <x:c r="D51" s="13" t="n">
        <x:v>1111651.2</x:v>
      </x:c>
      <x:c r="E51" s="13" t="n">
        <x:v>3305711.8604</x:v>
      </x:c>
      <x:c r="F51" s="13" t="n">
        <x:v>-2194060.6604</x:v>
      </x:c>
      <x:c r="G51" s="13" t="n">
        <x:v>-5870960.2074</x:v>
      </x:c>
      <x:c r="H51" s="13" t="n">
        <x:v>365471.828</x:v>
      </x:c>
      <x:c r="I51" s="13" t="n">
        <x:v>-6236432.0354</x:v>
      </x:c>
      <x:c r="J51" s="13" t="n">
        <x:v>-6865290.7865</x:v>
      </x:c>
    </x:row>
    <x:row r="52" ht="19" customHeight="1">
      <x:c r="A52" s="1" t="str">
        <x:v>project-cradle</x:v>
      </x:c>
      <x:c r="B52" s="1" t="str">
        <x:v>base</x:v>
      </x:c>
      <x:c r="C52" s="12" t="n">
        <x:v>2030</x:v>
      </x:c>
      <x:c r="D52" s="13" t="n">
        <x:v>1111651.2</x:v>
      </x:c>
      <x:c r="E52" s="13" t="n">
        <x:v>3367369.4184</x:v>
      </x:c>
      <x:c r="F52" s="13" t="n">
        <x:v>-2255718.2184</x:v>
      </x:c>
      <x:c r="G52" s="13" t="n">
        <x:v>-8126678.4258</x:v>
      </x:c>
      <x:c r="H52" s="13" t="n">
        <x:v>365471.828</x:v>
      </x:c>
      <x:c r="I52" s="13" t="n">
        <x:v>-8492150.2538</x:v>
      </x:c>
      <x:c r="J52" s="13" t="n">
        <x:v>-8923201.7117</x:v>
      </x:c>
    </x:row>
    <x:row r="53" ht="19" customHeight="1">
      <x:c r="A53" s="1" t="str">
        <x:v>project-cradle</x:v>
      </x:c>
      <x:c r="B53" s="1" t="str">
        <x:v>base</x:v>
      </x:c>
      <x:c r="C53" s="12" t="n">
        <x:v>2031</x:v>
      </x:c>
      <x:c r="D53" s="13" t="n">
        <x:v>1211411.52</x:v>
      </x:c>
      <x:c r="E53" s="13" t="n">
        <x:v>3483001.5883</x:v>
      </x:c>
      <x:c r="F53" s="13" t="n">
        <x:v>-2271590.0683</x:v>
      </x:c>
      <x:c r="G53" s="13" t="n">
        <x:v>-10398268.4941</x:v>
      </x:c>
      <x:c r="H53" s="13" t="n">
        <x:v>365471.828</x:v>
      </x:c>
      <x:c r="I53" s="13" t="n">
        <x:v>-10763740.3221</x:v>
      </x:c>
      <x:c r="J53" s="13" t="n">
        <x:v>-10997015.9825</x:v>
      </x:c>
    </x:row>
    <x:row r="54" ht="19" customHeight="1">
      <x:c r="A54" s="1" t="str">
        <x:v>willow</x:v>
      </x:c>
      <x:c r="B54" s="1" t="str">
        <x:v>base</x:v>
      </x:c>
      <x:c r="C54" s="12" t="n">
        <x:v>2026</x:v>
      </x:c>
      <x:c r="D54" s="13" t="n">
        <x:v>0</x:v>
      </x:c>
      <x:c r="E54" s="13" t="n">
        <x:v>248512</x:v>
      </x:c>
      <x:c r="F54" s="13" t="n">
        <x:v>-248512</x:v>
      </x:c>
      <x:c r="G54" s="13" t="n">
        <x:v>0</x:v>
      </x:c>
      <x:c r="H54" s="13" t="n">
        <x:v>248512</x:v>
      </x:c>
      <x:c r="I54" s="13" t="n">
        <x:v>-248512</x:v>
      </x:c>
      <x:c r="J54" s="13" t="n">
        <x:v>0</x:v>
      </x:c>
    </x:row>
    <x:row r="55" ht="19" customHeight="1">
      <x:c r="A55" s="1" t="str">
        <x:v>willow</x:v>
      </x:c>
      <x:c r="B55" s="1" t="str">
        <x:v>base</x:v>
      </x:c>
      <x:c r="C55" s="12" t="n">
        <x:v>2027</x:v>
      </x:c>
      <x:c r="D55" s="13" t="n">
        <x:v>0</x:v>
      </x:c>
      <x:c r="E55" s="13" t="n">
        <x:v>3947000</x:v>
      </x:c>
      <x:c r="F55" s="13" t="n">
        <x:v>-3947000</x:v>
      </x:c>
      <x:c r="G55" s="13" t="n">
        <x:v>-3947000</x:v>
      </x:c>
      <x:c r="H55" s="13" t="n">
        <x:v>248512</x:v>
      </x:c>
      <x:c r="I55" s="13" t="n">
        <x:v>-4195512</x:v>
      </x:c>
      <x:c r="J55" s="13" t="n">
        <x:v>-4305000</x:v>
      </x:c>
    </x:row>
    <x:row r="56" ht="19" customHeight="1">
      <x:c r="A56" s="1" t="str">
        <x:v>willow</x:v>
      </x:c>
      <x:c r="B56" s="1" t="str">
        <x:v>base</x:v>
      </x:c>
      <x:c r="C56" s="12" t="n">
        <x:v>2028</x:v>
      </x:c>
      <x:c r="D56" s="13" t="n">
        <x:v>0</x:v>
      </x:c>
      <x:c r="E56" s="13" t="n">
        <x:v>3782300</x:v>
      </x:c>
      <x:c r="F56" s="13" t="n">
        <x:v>-3782300</x:v>
      </x:c>
      <x:c r="G56" s="13" t="n">
        <x:v>-7722300</x:v>
      </x:c>
      <x:c r="H56" s="13" t="n">
        <x:v>255512</x:v>
      </x:c>
      <x:c r="I56" s="13" t="n">
        <x:v>-7977812</x:v>
      </x:c>
      <x:c r="J56" s="13" t="n">
        <x:v>-8044300</x:v>
      </x:c>
    </x:row>
    <x:row r="57" ht="19" customHeight="1">
      <x:c r="A57" s="1" t="str">
        <x:v>willow</x:v>
      </x:c>
      <x:c r="B57" s="1" t="str">
        <x:v>base</x:v>
      </x:c>
      <x:c r="C57" s="12" t="n">
        <x:v>2029</x:v>
      </x:c>
      <x:c r="D57" s="13" t="n">
        <x:v>0</x:v>
      </x:c>
      <x:c r="E57" s="13" t="n">
        <x:v>3857759</x:v>
      </x:c>
      <x:c r="F57" s="13" t="n">
        <x:v>-3857759</x:v>
      </x:c>
      <x:c r="G57" s="13" t="n">
        <x:v>-11587059</x:v>
      </x:c>
      <x:c r="H57" s="13" t="n">
        <x:v>248512</x:v>
      </x:c>
      <x:c r="I57" s="13" t="n">
        <x:v>-11835571</x:v>
      </x:c>
      <x:c r="J57" s="13" t="n">
        <x:v>-11873059</x:v>
      </x:c>
    </x:row>
    <x:row r="58" ht="19" customHeight="1">
      <x:c r="A58" s="1" t="str">
        <x:v>willow</x:v>
      </x:c>
      <x:c r="B58" s="1" t="str">
        <x:v>base</x:v>
      </x:c>
      <x:c r="C58" s="12" t="n">
        <x:v>2030</x:v>
      </x:c>
      <x:c r="D58" s="13" t="n">
        <x:v>0</x:v>
      </x:c>
      <x:c r="E58" s="13" t="n">
        <x:v>3925471.77</x:v>
      </x:c>
      <x:c r="F58" s="13" t="n">
        <x:v>-3925471.77</x:v>
      </x:c>
      <x:c r="G58" s="13" t="n">
        <x:v>-15512530.77</x:v>
      </x:c>
      <x:c r="H58" s="13" t="n">
        <x:v>248512</x:v>
      </x:c>
      <x:c r="I58" s="13" t="n">
        <x:v>-15761042.77</x:v>
      </x:c>
      <x:c r="J58" s="13" t="n">
        <x:v>-15762530.77</x:v>
      </x:c>
    </x:row>
    <x:row r="59" ht="19" customHeight="1">
      <x:c r="A59" s="1" t="str">
        <x:v>willow</x:v>
      </x:c>
      <x:c r="B59" s="1" t="str">
        <x:v>base</x:v>
      </x:c>
      <x:c r="C59" s="12" t="n">
        <x:v>2031</x:v>
      </x:c>
      <x:c r="D59" s="13" t="n">
        <x:v>0</x:v>
      </x:c>
      <x:c r="E59" s="13" t="n">
        <x:v>4077535.9168</x:v>
      </x:c>
      <x:c r="F59" s="13" t="n">
        <x:v>-4077535.9168</x:v>
      </x:c>
      <x:c r="G59" s="13" t="n">
        <x:v>-19590066.6868</x:v>
      </x:c>
      <x:c r="H59" s="13" t="n">
        <x:v>248512</x:v>
      </x:c>
      <x:c r="I59" s="13" t="n">
        <x:v>-19838578.6868</x:v>
      </x:c>
      <x:c r="J59" s="13" t="n">
        <x:v>-19804066.6868</x:v>
      </x:c>
    </x:row>
    <x:row r="60" ht="19" customHeight="1">
      <x:c r="A60" s="1" t="str">
        <x:v>advisory</x:v>
      </x:c>
      <x:c r="B60" s="1" t="str">
        <x:v>downside</x:v>
      </x:c>
      <x:c r="C60" s="12" t="n">
        <x:v>2026</x:v>
      </x:c>
      <x:c r="D60" s="13" t="n">
        <x:v>459959</x:v>
      </x:c>
      <x:c r="E60" s="13" t="n">
        <x:v>497024</x:v>
      </x:c>
      <x:c r="F60" s="13" t="n">
        <x:v>-37065</x:v>
      </x:c>
      <x:c r="G60" s="13" t="n">
        <x:v>459959</x:v>
      </x:c>
      <x:c r="H60" s="13" t="n">
        <x:v>497024</x:v>
      </x:c>
      <x:c r="I60" s="13" t="n">
        <x:v>-37065</x:v>
      </x:c>
      <x:c r="J60" s="13" t="n">
        <x:v>0</x:v>
      </x:c>
    </x:row>
    <x:row r="61" ht="19" customHeight="1">
      <x:c r="A61" s="1" t="str">
        <x:v>advisory</x:v>
      </x:c>
      <x:c r="B61" s="1" t="str">
        <x:v>downside</x:v>
      </x:c>
      <x:c r="C61" s="12" t="n">
        <x:v>2027</x:v>
      </x:c>
      <x:c r="D61" s="13" t="n">
        <x:v>5773680</x:v>
      </x:c>
      <x:c r="E61" s="13" t="n">
        <x:v>6067979.0528</x:v>
      </x:c>
      <x:c r="F61" s="13" t="n">
        <x:v>-294299.0528</x:v>
      </x:c>
      <x:c r="G61" s="13" t="n">
        <x:v>3706012.2672</x:v>
      </x:c>
      <x:c r="H61" s="13" t="n">
        <x:v>4037376.32</x:v>
      </x:c>
      <x:c r="I61" s="13" t="n">
        <x:v>-331364.0528</x:v>
      </x:c>
      <x:c r="J61" s="13" t="n">
        <x:v>1115429.2672</x:v>
      </x:c>
    </x:row>
    <x:row r="62" ht="19" customHeight="1">
      <x:c r="A62" s="1" t="str">
        <x:v>advisory</x:v>
      </x:c>
      <x:c r="B62" s="1" t="str">
        <x:v>downside</x:v>
      </x:c>
      <x:c r="C62" s="12" t="n">
        <x:v>2028</x:v>
      </x:c>
      <x:c r="D62" s="13" t="n">
        <x:v>10420920</x:v>
      </x:c>
      <x:c r="E62" s="13" t="n">
        <x:v>6250024.3968</x:v>
      </x:c>
      <x:c r="F62" s="13" t="n">
        <x:v>4170895.6032</x:v>
      </x:c>
      <x:c r="G62" s="13" t="n">
        <x:v>7531023.7104</x:v>
      </x:c>
      <x:c r="H62" s="13" t="n">
        <x:v>3691492.16</x:v>
      </x:c>
      <x:c r="I62" s="13" t="n">
        <x:v>3839531.5504</x:v>
      </x:c>
      <x:c r="J62" s="13" t="n">
        <x:v>5018200.7104</x:v>
      </x:c>
    </x:row>
    <x:row r="63" ht="19" customHeight="1">
      <x:c r="A63" s="1" t="str">
        <x:v>advisory</x:v>
      </x:c>
      <x:c r="B63" s="1" t="str">
        <x:v>downside</x:v>
      </x:c>
      <x:c r="C63" s="12" t="n">
        <x:v>2029</x:v>
      </x:c>
      <x:c r="D63" s="13" t="n">
        <x:v>10076400</x:v>
      </x:c>
      <x:c r="E63" s="13" t="n">
        <x:v>6409561.9968</x:v>
      </x:c>
      <x:c r="F63" s="13" t="n">
        <x:v>3666838.0032</x:v>
      </x:c>
      <x:c r="G63" s="13" t="n">
        <x:v>11197861.7136</x:v>
      </x:c>
      <x:c r="H63" s="13" t="n">
        <x:v>3691492.16</x:v>
      </x:c>
      <x:c r="I63" s="13" t="n">
        <x:v>7506369.5536</x:v>
      </x:c>
      <x:c r="J63" s="13" t="n">
        <x:v>8685038.7136</x:v>
      </x:c>
    </x:row>
    <x:row r="64" ht="19" customHeight="1">
      <x:c r="A64" s="1" t="str">
        <x:v>advisory</x:v>
      </x:c>
      <x:c r="B64" s="1" t="str">
        <x:v>downside</x:v>
      </x:c>
      <x:c r="C64" s="12" t="n">
        <x:v>2030</x:v>
      </x:c>
      <x:c r="D64" s="13" t="n">
        <x:v>10076400</x:v>
      </x:c>
      <x:c r="E64" s="13" t="n">
        <x:v>6589575.5088</x:v>
      </x:c>
      <x:c r="F64" s="13" t="n">
        <x:v>3486824.4912</x:v>
      </x:c>
      <x:c r="G64" s="13" t="n">
        <x:v>14684686.2048</x:v>
      </x:c>
      <x:c r="H64" s="13" t="n">
        <x:v>3691492.16</x:v>
      </x:c>
      <x:c r="I64" s="13" t="n">
        <x:v>10993194.0448</x:v>
      </x:c>
      <x:c r="J64" s="13" t="n">
        <x:v>12171863.2048</x:v>
      </x:c>
    </x:row>
    <x:row r="65" ht="19" customHeight="1">
      <x:c r="A65" s="1" t="str">
        <x:v>advisory</x:v>
      </x:c>
      <x:c r="B65" s="1" t="str">
        <x:v>downside</x:v>
      </x:c>
      <x:c r="C65" s="12" t="n">
        <x:v>2031</x:v>
      </x:c>
      <x:c r="D65" s="13" t="n">
        <x:v>10076400</x:v>
      </x:c>
      <x:c r="E65" s="13" t="n">
        <x:v>6774989.4204</x:v>
      </x:c>
      <x:c r="F65" s="13" t="n">
        <x:v>3301410.5796</x:v>
      </x:c>
      <x:c r="G65" s="13" t="n">
        <x:v>17986096.7844</x:v>
      </x:c>
      <x:c r="H65" s="13" t="n">
        <x:v>3691492.16</x:v>
      </x:c>
      <x:c r="I65" s="13" t="n">
        <x:v>14294604.6244</x:v>
      </x:c>
      <x:c r="J65" s="13" t="n">
        <x:v>15473273.7844</x:v>
      </x:c>
    </x:row>
    <x:row r="66" ht="19" customHeight="1">
      <x:c r="A66" s="1" t="str">
        <x:v>american-resource-utility</x:v>
      </x:c>
      <x:c r="B66" s="1" t="str">
        <x:v>downside</x:v>
      </x:c>
      <x:c r="C66" s="12" t="n">
        <x:v>2026</x:v>
      </x:c>
      <x:c r="D66" s="13" t="n">
        <x:v>42425942</x:v>
      </x:c>
      <x:c r="E66" s="13" t="n">
        <x:v>39334715</x:v>
      </x:c>
      <x:c r="F66" s="13" t="n">
        <x:v>3091227</x:v>
      </x:c>
      <x:c r="G66" s="13" t="n">
        <x:v>112876806</x:v>
      </x:c>
      <x:c r="H66" s="13" t="n">
        <x:v>30070699</x:v>
      </x:c>
      <x:c r="I66" s="13" t="n">
        <x:v>82806107</x:v>
      </x:c>
      <x:c r="J66" s="13" t="n">
        <x:v>4198440</x:v>
      </x:c>
    </x:row>
    <x:row r="67" ht="19" customHeight="1">
      <x:c r="A67" s="1" t="str">
        <x:v>american-resource-utility</x:v>
      </x:c>
      <x:c r="B67" s="1" t="str">
        <x:v>downside</x:v>
      </x:c>
      <x:c r="C67" s="12" t="n">
        <x:v>2027</x:v>
      </x:c>
      <x:c r="D67" s="13" t="n">
        <x:v>43495535</x:v>
      </x:c>
      <x:c r="E67" s="13" t="n">
        <x:v>42438847</x:v>
      </x:c>
      <x:c r="F67" s="13" t="n">
        <x:v>1056688</x:v>
      </x:c>
      <x:c r="G67" s="13" t="n">
        <x:v>110285938</x:v>
      </x:c>
      <x:c r="H67" s="13" t="n">
        <x:v>25656019</x:v>
      </x:c>
      <x:c r="I67" s="13" t="n">
        <x:v>84629919</x:v>
      </x:c>
      <x:c r="J67" s="13" t="n">
        <x:v>3751200</x:v>
      </x:c>
    </x:row>
    <x:row r="68" ht="19" customHeight="1">
      <x:c r="A68" s="1" t="str">
        <x:v>american-resource-utility</x:v>
      </x:c>
      <x:c r="B68" s="1" t="str">
        <x:v>downside</x:v>
      </x:c>
      <x:c r="C68" s="12" t="n">
        <x:v>2028</x:v>
      </x:c>
      <x:c r="D68" s="13" t="n">
        <x:v>41595267</x:v>
      </x:c>
      <x:c r="E68" s="13" t="n">
        <x:v>41423613</x:v>
      </x:c>
      <x:c r="F68" s="13" t="n">
        <x:v>171654</x:v>
      </x:c>
      <x:c r="G68" s="13" t="n">
        <x:v>108750304</x:v>
      </x:c>
      <x:c r="H68" s="13" t="n">
        <x:v>23948731</x:v>
      </x:c>
      <x:c r="I68" s="13" t="n">
        <x:v>84801573</x:v>
      </x:c>
      <x:c r="J68" s="13" t="n">
        <x:v>3356664</x:v>
      </x:c>
    </x:row>
    <x:row r="69" ht="19" customHeight="1">
      <x:c r="A69" s="1" t="str">
        <x:v>american-resource-utility</x:v>
      </x:c>
      <x:c r="B69" s="1" t="str">
        <x:v>downside</x:v>
      </x:c>
      <x:c r="C69" s="12" t="n">
        <x:v>2029</x:v>
      </x:c>
      <x:c r="D69" s="13" t="n">
        <x:v>40492215</x:v>
      </x:c>
      <x:c r="E69" s="13" t="n">
        <x:v>42129624</x:v>
      </x:c>
      <x:c r="F69" s="13" t="n">
        <x:v>-1637409</x:v>
      </x:c>
      <x:c r="G69" s="13" t="n">
        <x:v>106075124</x:v>
      </x:c>
      <x:c r="H69" s="13" t="n">
        <x:v>22910960</x:v>
      </x:c>
      <x:c r="I69" s="13" t="n">
        <x:v>83164164</x:v>
      </x:c>
      <x:c r="J69" s="13" t="n">
        <x:v>1461131</x:v>
      </x:c>
    </x:row>
    <x:row r="70" ht="19" customHeight="1">
      <x:c r="A70" s="1" t="str">
        <x:v>american-resource-utility</x:v>
      </x:c>
      <x:c r="B70" s="1" t="str">
        <x:v>downside</x:v>
      </x:c>
      <x:c r="C70" s="12" t="n">
        <x:v>2030</x:v>
      </x:c>
      <x:c r="D70" s="13" t="n">
        <x:v>41304642</x:v>
      </x:c>
      <x:c r="E70" s="13" t="n">
        <x:v>43332176.2</x:v>
      </x:c>
      <x:c r="F70" s="13" t="n">
        <x:v>-2027534.2</x:v>
      </x:c>
      <x:c r="G70" s="13" t="n">
        <x:v>104846659</x:v>
      </x:c>
      <x:c r="H70" s="13" t="n">
        <x:v>21893749.2</x:v>
      </x:c>
      <x:c r="I70" s="13" t="n">
        <x:v>82952909.8</x:v>
      </x:c>
      <x:c r="J70" s="13" t="n">
        <x:v>1149392</x:v>
      </x:c>
    </x:row>
    <x:row r="71" ht="19" customHeight="1">
      <x:c r="A71" s="1" t="str">
        <x:v>american-resource-utility</x:v>
      </x:c>
      <x:c r="B71" s="1" t="str">
        <x:v>downside</x:v>
      </x:c>
      <x:c r="C71" s="12" t="n">
        <x:v>2031</x:v>
      </x:c>
      <x:c r="D71" s="13" t="n">
        <x:v>42134053</x:v>
      </x:c>
      <x:c r="E71" s="13" t="n">
        <x:v>44115031.286</x:v>
      </x:c>
      <x:c r="F71" s="13" t="n">
        <x:v>-1980978.286</x:v>
      </x:c>
      <x:c r="G71" s="13" t="n">
        <x:v>103733410</x:v>
      </x:c>
      <x:c r="H71" s="13" t="n">
        <x:v>18761478.486</x:v>
      </x:c>
      <x:c r="I71" s="13" t="n">
        <x:v>84971931.514</x:v>
      </x:c>
      <x:c r="J71" s="13" t="n">
        <x:v>834452</x:v>
      </x:c>
    </x:row>
    <x:row r="72" ht="19" customHeight="1">
      <x:c r="A72" s="1" t="str">
        <x:v>atlas-meridian</x:v>
      </x:c>
      <x:c r="B72" s="1" t="str">
        <x:v>downside</x:v>
      </x:c>
      <x:c r="C72" s="12" t="n">
        <x:v>2026</x:v>
      </x:c>
      <x:c r="D72" s="13" t="n">
        <x:v>229979.5</x:v>
      </x:c>
      <x:c r="E72" s="13" t="n">
        <x:v>248512</x:v>
      </x:c>
      <x:c r="F72" s="13" t="n">
        <x:v>-18532.5</x:v>
      </x:c>
      <x:c r="G72" s="13" t="n">
        <x:v>229979.5</x:v>
      </x:c>
      <x:c r="H72" s="13" t="n">
        <x:v>248512</x:v>
      </x:c>
      <x:c r="I72" s="13" t="n">
        <x:v>-18532.5</x:v>
      </x:c>
      <x:c r="J72" s="13" t="n">
        <x:v>229979.5</x:v>
      </x:c>
    </x:row>
    <x:row r="73" ht="19" customHeight="1">
      <x:c r="A73" s="1" t="str">
        <x:v>atlas-meridian</x:v>
      </x:c>
      <x:c r="B73" s="1" t="str">
        <x:v>downside</x:v>
      </x:c>
      <x:c r="C73" s="12" t="n">
        <x:v>2027</x:v>
      </x:c>
      <x:c r="D73" s="13" t="n">
        <x:v>3890250</x:v>
      </x:c>
      <x:c r="E73" s="13" t="n">
        <x:v>7583468.2988</x:v>
      </x:c>
      <x:c r="F73" s="13" t="n">
        <x:v>-3693218.2988</x:v>
      </x:c>
      <x:c r="G73" s="13" t="n">
        <x:v>-2354546.7988</x:v>
      </x:c>
      <x:c r="H73" s="13" t="n">
        <x:v>1357204</x:v>
      </x:c>
      <x:c r="I73" s="13" t="n">
        <x:v>-3711750.7988</x:v>
      </x:c>
      <x:c r="J73" s="13" t="n">
        <x:v>-3026171.7988</x:v>
      </x:c>
    </x:row>
    <x:row r="74" ht="19" customHeight="1">
      <x:c r="A74" s="1" t="str">
        <x:v>atlas-meridian</x:v>
      </x:c>
      <x:c r="B74" s="1" t="str">
        <x:v>downside</x:v>
      </x:c>
      <x:c r="C74" s="12" t="n">
        <x:v>2028</x:v>
      </x:c>
      <x:c r="D74" s="13" t="n">
        <x:v>4453380</x:v>
      </x:c>
      <x:c r="E74" s="13" t="n">
        <x:v>7933620.9652</x:v>
      </x:c>
      <x:c r="F74" s="13" t="n">
        <x:v>-3480240.9652</x:v>
      </x:c>
      <x:c r="G74" s="13" t="n">
        <x:v>-5932503.764</x:v>
      </x:c>
      <x:c r="H74" s="13" t="n">
        <x:v>1259488</x:v>
      </x:c>
      <x:c r="I74" s="13" t="n">
        <x:v>-7191991.764</x:v>
      </x:c>
      <x:c r="J74" s="13" t="n">
        <x:v>-6613983.764</x:v>
      </x:c>
    </x:row>
    <x:row r="75" ht="19" customHeight="1">
      <x:c r="A75" s="1" t="str">
        <x:v>atlas-meridian</x:v>
      </x:c>
      <x:c r="B75" s="1" t="str">
        <x:v>downside</x:v>
      </x:c>
      <x:c r="C75" s="12" t="n">
        <x:v>2029</x:v>
      </x:c>
      <x:c r="D75" s="13" t="n">
        <x:v>4420195.2</x:v>
      </x:c>
      <x:c r="E75" s="13" t="n">
        <x:v>8144807.9652</x:v>
      </x:c>
      <x:c r="F75" s="13" t="n">
        <x:v>-3724612.7652</x:v>
      </x:c>
      <x:c r="G75" s="13" t="n">
        <x:v>-9617430.1292</x:v>
      </x:c>
      <x:c r="H75" s="13" t="n">
        <x:v>1299174.4</x:v>
      </x:c>
      <x:c r="I75" s="13" t="n">
        <x:v>-10916604.5292</x:v>
      </x:c>
      <x:c r="J75" s="13" t="n">
        <x:v>-10318004.5292</x:v>
      </x:c>
    </x:row>
    <x:row r="76" ht="19" customHeight="1">
      <x:c r="A76" s="1" t="str">
        <x:v>atlas-meridian</x:v>
      </x:c>
      <x:c r="B76" s="1" t="str">
        <x:v>downside</x:v>
      </x:c>
      <x:c r="C76" s="12" t="n">
        <x:v>2030</x:v>
      </x:c>
      <x:c r="D76" s="13" t="n">
        <x:v>4521403.008</x:v>
      </x:c>
      <x:c r="E76" s="13" t="n">
        <x:v>8375662.2972</x:v>
      </x:c>
      <x:c r="F76" s="13" t="n">
        <x:v>-3854259.2892</x:v>
      </x:c>
      <x:c r="G76" s="13" t="n">
        <x:v>-13430415.5624</x:v>
      </x:c>
      <x:c r="H76" s="13" t="n">
        <x:v>1340448.256</x:v>
      </x:c>
      <x:c r="I76" s="13" t="n">
        <x:v>-14770863.8184</x:v>
      </x:c>
      <x:c r="J76" s="13" t="n">
        <x:v>-14150848.1384</x:v>
      </x:c>
    </x:row>
    <x:row r="77" ht="19" customHeight="1">
      <x:c r="A77" s="1" t="str">
        <x:v>atlas-meridian</x:v>
      </x:c>
      <x:c r="B77" s="1" t="str">
        <x:v>downside</x:v>
      </x:c>
      <x:c r="C77" s="12" t="n">
        <x:v>2031</x:v>
      </x:c>
      <x:c r="D77" s="13" t="n">
        <x:v>4626659.13</x:v>
      </x:c>
      <x:c r="E77" s="13" t="n">
        <x:v>8613442.7395</x:v>
      </x:c>
      <x:c r="F77" s="13" t="n">
        <x:v>-3986783.6095</x:v>
      </x:c>
      <x:c r="G77" s="13" t="n">
        <x:v>-17374274.3607</x:v>
      </x:c>
      <x:c r="H77" s="13" t="n">
        <x:v>1383373.0672</x:v>
      </x:c>
      <x:c r="I77" s="13" t="n">
        <x:v>-18757647.4279</x:v>
      </x:c>
      <x:c r="J77" s="13" t="n">
        <x:v>-18115359.44</x:v>
      </x:c>
    </x:row>
    <x:row r="78" ht="19" customHeight="1">
      <x:c r="A78" s="1" t="str">
        <x:v>corporate</x:v>
      </x:c>
      <x:c r="B78" s="1" t="str">
        <x:v>downside</x:v>
      </x:c>
      <x:c r="C78" s="12" t="n">
        <x:v>2026</x:v>
      </x:c>
      <x:c r="D78" s="13" t="n">
        <x:v>0</x:v>
      </x:c>
      <x:c r="E78" s="13" t="n">
        <x:v>910950.4001</x:v>
      </x:c>
      <x:c r="F78" s="13" t="n">
        <x:v>-910950.4001</x:v>
      </x:c>
      <x:c r="G78" s="13" t="n">
        <x:v>275169865.1334</x:v>
      </x:c>
      <x:c r="H78" s="13" t="n">
        <x:v>35302666.6668</x:v>
      </x:c>
      <x:c r="I78" s="13" t="n">
        <x:v>239867198.4666</x:v>
      </x:c>
      <x:c r="J78" s="13" t="n">
        <x:v>11893098.8667</x:v>
      </x:c>
    </x:row>
    <x:row r="79" ht="19" customHeight="1">
      <x:c r="A79" s="1" t="str">
        <x:v>corporate</x:v>
      </x:c>
      <x:c r="B79" s="1" t="str">
        <x:v>downside</x:v>
      </x:c>
      <x:c r="C79" s="12" t="n">
        <x:v>2027</x:v>
      </x:c>
      <x:c r="D79" s="13" t="n">
        <x:v>999999.9996</x:v>
      </x:c>
      <x:c r="E79" s="13" t="n">
        <x:v>43248890.9383</x:v>
      </x:c>
      <x:c r="F79" s="13" t="n">
        <x:v>-42248890.9387</x:v>
      </x:c>
      <x:c r="G79" s="13" t="n">
        <x:v>287164981.158</x:v>
      </x:c>
      <x:c r="H79" s="13" t="n">
        <x:v>56161185.6301</x:v>
      </x:c>
      <x:c r="I79" s="13" t="n">
        <x:v>231003795.5279</x:v>
      </x:c>
      <x:c r="J79" s="13" t="n">
        <x:v>1148199.7161</x:v>
      </x:c>
    </x:row>
    <x:row r="80" ht="19" customHeight="1">
      <x:c r="A80" s="1" t="str">
        <x:v>corporate</x:v>
      </x:c>
      <x:c r="B80" s="1" t="str">
        <x:v>downside</x:v>
      </x:c>
      <x:c r="C80" s="12" t="n">
        <x:v>2028</x:v>
      </x:c>
      <x:c r="D80" s="13" t="n">
        <x:v>1029999.9996</x:v>
      </x:c>
      <x:c r="E80" s="13" t="n">
        <x:v>44611220.272</x:v>
      </x:c>
      <x:c r="F80" s="13" t="n">
        <x:v>-43581220.2724</x:v>
      </x:c>
      <x:c r="G80" s="13" t="n">
        <x:v>286865482.9304</x:v>
      </x:c>
      <x:c r="H80" s="13" t="n">
        <x:v>75820649.6749</x:v>
      </x:c>
      <x:c r="I80" s="13" t="n">
        <x:v>211044833.2555</x:v>
      </x:c>
      <x:c r="J80" s="13" t="n">
        <x:v>-12882474.1867</x:v>
      </x:c>
    </x:row>
    <x:row r="81" ht="19" customHeight="1">
      <x:c r="A81" s="1" t="str">
        <x:v>corporate</x:v>
      </x:c>
      <x:c r="B81" s="1" t="str">
        <x:v>downside</x:v>
      </x:c>
      <x:c r="C81" s="12" t="n">
        <x:v>2029</x:v>
      </x:c>
      <x:c r="D81" s="13" t="n">
        <x:v>1060899.9996</x:v>
      </x:c>
      <x:c r="E81" s="13" t="n">
        <x:v>45749460.752</x:v>
      </x:c>
      <x:c r="F81" s="13" t="n">
        <x:v>-44688560.7524</x:v>
      </x:c>
      <x:c r="G81" s="13" t="n">
        <x:v>277721295.3428</x:v>
      </x:c>
      <x:c r="H81" s="13" t="n">
        <x:v>89587452.8397</x:v>
      </x:c>
      <x:c r="I81" s="13" t="n">
        <x:v>188133842.5031</x:v>
      </x:c>
      <x:c r="J81" s="13" t="n">
        <x:v>-34509597.4495</x:v>
      </x:c>
    </x:row>
    <x:row r="82" ht="19" customHeight="1">
      <x:c r="A82" s="1" t="str">
        <x:v>corporate</x:v>
      </x:c>
      <x:c r="B82" s="1" t="str">
        <x:v>downside</x:v>
      </x:c>
      <x:c r="C82" s="12" t="n">
        <x:v>2030</x:v>
      </x:c>
      <x:c r="D82" s="13" t="n">
        <x:v>1092726.9996</x:v>
      </x:c>
      <x:c r="E82" s="13" t="n">
        <x:v>46894483.2464</x:v>
      </x:c>
      <x:c r="F82" s="13" t="n">
        <x:v>-45801756.2468</x:v>
      </x:c>
      <x:c r="G82" s="13" t="n">
        <x:v>276313644.9624</x:v>
      </x:c>
      <x:c r="H82" s="13" t="n">
        <x:v>97348998.7061</x:v>
      </x:c>
      <x:c r="I82" s="13" t="n">
        <x:v>178964646.2563</x:v>
      </x:c>
      <x:c r="J82" s="13" t="n">
        <x:v>-63287000.5051</x:v>
      </x:c>
    </x:row>
    <x:row r="83" ht="19" customHeight="1">
      <x:c r="A83" s="1" t="str">
        <x:v>corporate</x:v>
      </x:c>
      <x:c r="B83" s="1" t="str">
        <x:v>downside</x:v>
      </x:c>
      <x:c r="C83" s="12" t="n">
        <x:v>2031</x:v>
      </x:c>
      <x:c r="D83" s="13" t="n">
        <x:v>1125508.8096</x:v>
      </x:c>
      <x:c r="E83" s="13" t="n">
        <x:v>48076196.5028</x:v>
      </x:c>
      <x:c r="F83" s="13" t="n">
        <x:v>-46950687.6932</x:v>
      </x:c>
      <x:c r="G83" s="13" t="n">
        <x:v>269485245.79</x:v>
      </x:c>
      <x:c r="H83" s="13" t="n">
        <x:v>98420623.2269</x:v>
      </x:c>
      <x:c r="I83" s="13" t="n">
        <x:v>171064622.5631</x:v>
      </x:c>
      <x:c r="J83" s="13" t="n">
        <x:v>-99936038.1627</x:v>
      </x:c>
    </x:row>
    <x:row r="84" ht="19" customHeight="1">
      <x:c r="A84" s="1" t="str">
        <x:v>eliminations</x:v>
      </x:c>
      <x:c r="B84" s="1" t="str">
        <x:v>downside</x:v>
      </x:c>
      <x:c r="C84" s="12" t="n">
        <x:v>2026</x:v>
      </x:c>
      <x:c r="D84" s="13" t="n">
        <x:v>-1671380</x:v>
      </x:c>
      <x:c r="E84" s="13" t="n">
        <x:v>-1671380</x:v>
      </x:c>
      <x:c r="F84" s="13" t="n">
        <x:v>0</x:v>
      </x:c>
      <x:c r="G84" s="13" t="n">
        <x:v>-302986399</x:v>
      </x:c>
      <x:c r="H84" s="13" t="n">
        <x:v>-49240</x:v>
      </x:c>
      <x:c r="I84" s="13" t="n">
        <x:v>-302937159</x:v>
      </x:c>
      <x:c r="J84" s="13" t="n">
        <x:v>0</x:v>
      </x:c>
    </x:row>
    <x:row r="85" ht="19" customHeight="1">
      <x:c r="A85" s="1" t="str">
        <x:v>eliminations</x:v>
      </x:c>
      <x:c r="B85" s="1" t="str">
        <x:v>downside</x:v>
      </x:c>
      <x:c r="C85" s="12" t="n">
        <x:v>2027</x:v>
      </x:c>
      <x:c r="D85" s="13" t="n">
        <x:v>-2892059.8567</x:v>
      </x:c>
      <x:c r="E85" s="13" t="n">
        <x:v>-2892059.8567</x:v>
      </x:c>
      <x:c r="F85" s="13" t="n">
        <x:v>0</x:v>
      </x:c>
      <x:c r="G85" s="13" t="n">
        <x:v>-339182783.9996</x:v>
      </x:c>
      <x:c r="H85" s="13" t="n">
        <x:v>-434516.9996</x:v>
      </x:c>
      <x:c r="I85" s="13" t="n">
        <x:v>-338748267</x:v>
      </x:c>
      <x:c r="J85" s="13" t="n">
        <x:v>0</x:v>
      </x:c>
    </x:row>
    <x:row r="86" ht="19" customHeight="1">
      <x:c r="A86" s="1" t="str">
        <x:v>eliminations</x:v>
      </x:c>
      <x:c r="B86" s="1" t="str">
        <x:v>downside</x:v>
      </x:c>
      <x:c r="C86" s="12" t="n">
        <x:v>2028</x:v>
      </x:c>
      <x:c r="D86" s="13" t="n">
        <x:v>-3101779.8567</x:v>
      </x:c>
      <x:c r="E86" s="13" t="n">
        <x:v>-3101779.8567</x:v>
      </x:c>
      <x:c r="F86" s="13" t="n">
        <x:v>0</x:v>
      </x:c>
      <x:c r="G86" s="13" t="n">
        <x:v>-361583798.9992</x:v>
      </x:c>
      <x:c r="H86" s="13" t="n">
        <x:v>-902144.9992</x:v>
      </x:c>
      <x:c r="I86" s="13" t="n">
        <x:v>-360681654</x:v>
      </x:c>
      <x:c r="J86" s="13" t="n">
        <x:v>0</x:v>
      </x:c>
    </x:row>
    <x:row r="87" ht="19" customHeight="1">
      <x:c r="A87" s="1" t="str">
        <x:v>eliminations</x:v>
      </x:c>
      <x:c r="B87" s="1" t="str">
        <x:v>downside</x:v>
      </x:c>
      <x:c r="C87" s="12" t="n">
        <x:v>2029</x:v>
      </x:c>
      <x:c r="D87" s="13" t="n">
        <x:v>-3217993.8567</x:v>
      </x:c>
      <x:c r="E87" s="13" t="n">
        <x:v>-3217993.8567</x:v>
      </x:c>
      <x:c r="F87" s="13" t="n">
        <x:v>0</x:v>
      </x:c>
      <x:c r="G87" s="13" t="n">
        <x:v>-381812466.9988</x:v>
      </x:c>
      <x:c r="H87" s="13" t="n">
        <x:v>-1964457.9988</x:v>
      </x:c>
      <x:c r="I87" s="13" t="n">
        <x:v>-379848009</x:v>
      </x:c>
      <x:c r="J87" s="13" t="n">
        <x:v>0</x:v>
      </x:c>
    </x:row>
    <x:row r="88" ht="19" customHeight="1">
      <x:c r="A88" s="1" t="str">
        <x:v>eliminations</x:v>
      </x:c>
      <x:c r="B88" s="1" t="str">
        <x:v>downside</x:v>
      </x:c>
      <x:c r="C88" s="12" t="n">
        <x:v>2030</x:v>
      </x:c>
      <x:c r="D88" s="13" t="n">
        <x:v>-3311921.9996</x:v>
      </x:c>
      <x:c r="E88" s="13" t="n">
        <x:v>-3311921.9996</x:v>
      </x:c>
      <x:c r="F88" s="13" t="n">
        <x:v>0</x:v>
      </x:c>
      <x:c r="G88" s="13" t="n">
        <x:v>-422535276.9984</x:v>
      </x:c>
      <x:c r="H88" s="13" t="n">
        <x:v>-3054707.9984</x:v>
      </x:c>
      <x:c r="I88" s="13" t="n">
        <x:v>-419480569</x:v>
      </x:c>
      <x:c r="J88" s="13" t="n">
        <x:v>0</x:v>
      </x:c>
    </x:row>
    <x:row r="89" ht="19" customHeight="1">
      <x:c r="A89" s="1" t="str">
        <x:v>eliminations</x:v>
      </x:c>
      <x:c r="B89" s="1" t="str">
        <x:v>downside</x:v>
      </x:c>
      <x:c r="C89" s="12" t="n">
        <x:v>2031</x:v>
      </x:c>
      <x:c r="D89" s="13" t="n">
        <x:v>-3409287.0953</x:v>
      </x:c>
      <x:c r="E89" s="13" t="n">
        <x:v>-3409287.0953</x:v>
      </x:c>
      <x:c r="F89" s="13" t="n">
        <x:v>0</x:v>
      </x:c>
      <x:c r="G89" s="13" t="n">
        <x:v>-464740836.808</x:v>
      </x:c>
      <x:c r="H89" s="13" t="n">
        <x:v>-4184271.808</x:v>
      </x:c>
      <x:c r="I89" s="13" t="n">
        <x:v>-460556565</x:v>
      </x:c>
      <x:c r="J89" s="13" t="n">
        <x:v>0</x:v>
      </x:c>
    </x:row>
    <x:row r="90" ht="19" customHeight="1">
      <x:c r="A90" s="1" t="str">
        <x:v>foundry-field</x:v>
      </x:c>
      <x:c r="B90" s="1" t="str">
        <x:v>downside</x:v>
      </x:c>
      <x:c r="C90" s="12" t="n">
        <x:v>2026</x:v>
      </x:c>
      <x:c r="D90" s="13" t="n">
        <x:v>129380082</x:v>
      </x:c>
      <x:c r="E90" s="13" t="n">
        <x:v>139503160.3667</x:v>
      </x:c>
      <x:c r="F90" s="13" t="n">
        <x:v>-10123078.3667</x:v>
      </x:c>
      <x:c r="G90" s="13" t="n">
        <x:v>-10123078.3667</x:v>
      </x:c>
      <x:c r="H90" s="13" t="n">
        <x:v>0</x:v>
      </x:c>
      <x:c r="I90" s="13" t="n">
        <x:v>-10123078.3667</x:v>
      </x:c>
      <x:c r="J90" s="13" t="n">
        <x:v>-10123078.3667</x:v>
      </x:c>
    </x:row>
    <x:row r="91" ht="19" customHeight="1">
      <x:c r="A91" s="1" t="str">
        <x:v>foundry-field</x:v>
      </x:c>
      <x:c r="B91" s="1" t="str">
        <x:v>downside</x:v>
      </x:c>
      <x:c r="C91" s="12" t="n">
        <x:v>2027</x:v>
      </x:c>
      <x:c r="D91" s="13" t="n">
        <x:v>50561550</x:v>
      </x:c>
      <x:c r="E91" s="13" t="n">
        <x:v>28343840.6025</x:v>
      </x:c>
      <x:c r="F91" s="13" t="n">
        <x:v>22217709.3975</x:v>
      </x:c>
      <x:c r="G91" s="13" t="n">
        <x:v>16046015.0308</x:v>
      </x:c>
      <x:c r="H91" s="13" t="n">
        <x:v>3951384</x:v>
      </x:c>
      <x:c r="I91" s="13" t="n">
        <x:v>12094631.0308</x:v>
      </x:c>
      <x:c r="J91" s="13" t="n">
        <x:v>11487167.0308</x:v>
      </x:c>
    </x:row>
    <x:row r="92" ht="19" customHeight="1">
      <x:c r="A92" s="1" t="str">
        <x:v>foundry-field</x:v>
      </x:c>
      <x:c r="B92" s="1" t="str">
        <x:v>downside</x:v>
      </x:c>
      <x:c r="C92" s="12" t="n">
        <x:v>2028</x:v>
      </x:c>
      <x:c r="D92" s="13" t="n">
        <x:v>48181932</x:v>
      </x:c>
      <x:c r="E92" s="13" t="n">
        <x:v>28399297.2156</x:v>
      </x:c>
      <x:c r="F92" s="13" t="n">
        <x:v>19782634.7844</x:v>
      </x:c>
      <x:c r="G92" s="13" t="n">
        <x:v>40470189.8152</x:v>
      </x:c>
      <x:c r="H92" s="13" t="n">
        <x:v>8592924</x:v>
      </x:c>
      <x:c r="I92" s="13" t="n">
        <x:v>31877265.8152</x:v>
      </x:c>
      <x:c r="J92" s="13" t="n">
        <x:v>31972791.0952</x:v>
      </x:c>
    </x:row>
    <x:row r="93" ht="19" customHeight="1">
      <x:c r="A93" s="1" t="str">
        <x:v>foundry-field</x:v>
      </x:c>
      <x:c r="B93" s="1" t="str">
        <x:v>downside</x:v>
      </x:c>
      <x:c r="C93" s="12" t="n">
        <x:v>2029</x:v>
      </x:c>
      <x:c r="D93" s="13" t="n">
        <x:v>57152465.28</x:v>
      </x:c>
      <x:c r="E93" s="13" t="n">
        <x:v>29328593.5068</x:v>
      </x:c>
      <x:c r="F93" s="13" t="n">
        <x:v>27823871.7732</x:v>
      </x:c>
      <x:c r="G93" s="13" t="n">
        <x:v>72941054.8684</x:v>
      </x:c>
      <x:c r="H93" s="13" t="n">
        <x:v>13239917.28</x:v>
      </x:c>
      <x:c r="I93" s="13" t="n">
        <x:v>59701137.5884</x:v>
      </x:c>
      <x:c r="J93" s="13" t="n">
        <x:v>60602107.3996</x:v>
      </x:c>
    </x:row>
    <x:row r="94" ht="19" customHeight="1">
      <x:c r="A94" s="1" t="str">
        <x:v>foundry-field</x:v>
      </x:c>
      <x:c r="B94" s="1" t="str">
        <x:v>downside</x:v>
      </x:c>
      <x:c r="C94" s="12" t="n">
        <x:v>2030</x:v>
      </x:c>
      <x:c r="D94" s="13" t="n">
        <x:v>67291423.8912</x:v>
      </x:c>
      <x:c r="E94" s="13" t="n">
        <x:v>30392639.052</x:v>
      </x:c>
      <x:c r="F94" s="13" t="n">
        <x:v>36898784.8392</x:v>
      </x:c>
      <x:c r="G94" s="13" t="n">
        <x:v>113582893.3588</x:v>
      </x:c>
      <x:c r="H94" s="13" t="n">
        <x:v>16982970.9312</x:v>
      </x:c>
      <x:c r="I94" s="13" t="n">
        <x:v>96599922.4276</x:v>
      </x:c>
      <x:c r="J94" s="13" t="n">
        <x:v>96783264.7912</x:v>
      </x:c>
    </x:row>
    <x:row r="95" ht="19" customHeight="1">
      <x:c r="A95" s="1" t="str">
        <x:v>foundry-field</x:v>
      </x:c>
      <x:c r="B95" s="1" t="str">
        <x:v>downside</x:v>
      </x:c>
      <x:c r="C95" s="12" t="n">
        <x:v>2031</x:v>
      </x:c>
      <x:c r="D95" s="13" t="n">
        <x:v>75123160.8468</x:v>
      </x:c>
      <x:c r="E95" s="13" t="n">
        <x:v>31090601.9979</x:v>
      </x:c>
      <x:c r="F95" s="13" t="n">
        <x:v>44032558.8489</x:v>
      </x:c>
      <x:c r="G95" s="13" t="n">
        <x:v>157414505.7649</x:v>
      </x:c>
      <x:c r="H95" s="13" t="n">
        <x:v>16782024.4884</x:v>
      </x:c>
      <x:c r="I95" s="13" t="n">
        <x:v>140632481.2765</x:v>
      </x:c>
      <x:c r="J95" s="13" t="n">
        <x:v>141473410.4548</x:v>
      </x:c>
    </x:row>
    <x:row r="96" ht="19" customHeight="1">
      <x:c r="A96" s="1" t="str">
        <x:v>pale-sun</x:v>
      </x:c>
      <x:c r="B96" s="1" t="str">
        <x:v>downside</x:v>
      </x:c>
      <x:c r="C96" s="12" t="n">
        <x:v>2026</x:v>
      </x:c>
      <x:c r="D96" s="13" t="n">
        <x:v>37975000</x:v>
      </x:c>
      <x:c r="E96" s="13" t="n">
        <x:v>37376659</x:v>
      </x:c>
      <x:c r="F96" s="13" t="n">
        <x:v>598341</x:v>
      </x:c>
      <x:c r="G96" s="13" t="n">
        <x:v>130839999</x:v>
      </x:c>
      <x:c r="H96" s="13" t="n">
        <x:v>22831108</x:v>
      </x:c>
      <x:c r="I96" s="13" t="n">
        <x:v>108008891</x:v>
      </x:c>
      <x:c r="J96" s="13" t="n">
        <x:v>2000000</x:v>
      </x:c>
    </x:row>
    <x:row r="97" ht="19" customHeight="1">
      <x:c r="A97" s="1" t="str">
        <x:v>pale-sun</x:v>
      </x:c>
      <x:c r="B97" s="1" t="str">
        <x:v>downside</x:v>
      </x:c>
      <x:c r="C97" s="12" t="n">
        <x:v>2027</x:v>
      </x:c>
      <x:c r="D97" s="13" t="n">
        <x:v>35475497.8571</x:v>
      </x:c>
      <x:c r="E97" s="13" t="n">
        <x:v>43986269.8567</x:v>
      </x:c>
      <x:c r="F97" s="13" t="n">
        <x:v>-8510771.9996</x:v>
      </x:c>
      <x:c r="G97" s="13" t="n">
        <x:v>143426409</x:v>
      </x:c>
      <x:c r="H97" s="13" t="n">
        <x:v>21077049.9996</x:v>
      </x:c>
      <x:c r="I97" s="13" t="n">
        <x:v>122349359.0004</x:v>
      </x:c>
      <x:c r="J97" s="13" t="n">
        <x:v>2000000</x:v>
      </x:c>
    </x:row>
    <x:row r="98" ht="19" customHeight="1">
      <x:c r="A98" s="1" t="str">
        <x:v>pale-sun</x:v>
      </x:c>
      <x:c r="B98" s="1" t="str">
        <x:v>downside</x:v>
      </x:c>
      <x:c r="C98" s="12" t="n">
        <x:v>2028</x:v>
      </x:c>
      <x:c r="D98" s="13" t="n">
        <x:v>37411783.8571</x:v>
      </x:c>
      <x:c r="E98" s="13" t="n">
        <x:v>46369164.8567</x:v>
      </x:c>
      <x:c r="F98" s="13" t="n">
        <x:v>-8957380.9996</x:v>
      </x:c>
      <x:c r="G98" s="13" t="n">
        <x:v>150416503</x:v>
      </x:c>
      <x:c r="H98" s="13" t="n">
        <x:v>22402266.9992</x:v>
      </x:c>
      <x:c r="I98" s="13" t="n">
        <x:v>128014236.0008</x:v>
      </x:c>
      <x:c r="J98" s="13" t="n">
        <x:v>2000000</x:v>
      </x:c>
    </x:row>
    <x:row r="99" ht="19" customHeight="1">
      <x:c r="A99" s="1" t="str">
        <x:v>pale-sun</x:v>
      </x:c>
      <x:c r="B99" s="1" t="str">
        <x:v>downside</x:v>
      </x:c>
      <x:c r="C99" s="12" t="n">
        <x:v>2029</x:v>
      </x:c>
      <x:c r="D99" s="13" t="n">
        <x:v>38932516.8571</x:v>
      </x:c>
      <x:c r="E99" s="13" t="n">
        <x:v>48268553.8567</x:v>
      </x:c>
      <x:c r="F99" s="13" t="n">
        <x:v>-9336036.9996</x:v>
      </x:c>
      <x:c r="G99" s="13" t="n">
        <x:v>155246273</x:v>
      </x:c>
      <x:c r="H99" s="13" t="n">
        <x:v>23790503.9988</x:v>
      </x:c>
      <x:c r="I99" s="13" t="n">
        <x:v>131455769.0012</x:v>
      </x:c>
      <x:c r="J99" s="13" t="n">
        <x:v>2000000</x:v>
      </x:c>
    </x:row>
    <x:row r="100" ht="19" customHeight="1">
      <x:c r="A100" s="1" t="str">
        <x:v>pale-sun</x:v>
      </x:c>
      <x:c r="B100" s="1" t="str">
        <x:v>downside</x:v>
      </x:c>
      <x:c r="C100" s="12" t="n">
        <x:v>2030</x:v>
      </x:c>
      <x:c r="D100" s="13" t="n">
        <x:v>38443683</x:v>
      </x:c>
      <x:c r="E100" s="13" t="n">
        <x:v>48376833.7996</x:v>
      </x:c>
      <x:c r="F100" s="13" t="n">
        <x:v>-9933150.7996</x:v>
      </x:c>
      <x:c r="G100" s="13" t="n">
        <x:v>166748823</x:v>
      </x:c>
      <x:c r="H100" s="13" t="n">
        <x:v>21226204.7984</x:v>
      </x:c>
      <x:c r="I100" s="13" t="n">
        <x:v>145522618.2016</x:v>
      </x:c>
      <x:c r="J100" s="13" t="n">
        <x:v>2000000</x:v>
      </x:c>
    </x:row>
    <x:row r="101" ht="19" customHeight="1">
      <x:c r="A101" s="1" t="str">
        <x:v>pale-sun</x:v>
      </x:c>
      <x:c r="B101" s="1" t="str">
        <x:v>downside</x:v>
      </x:c>
      <x:c r="C101" s="12" t="n">
        <x:v>2031</x:v>
      </x:c>
      <x:c r="D101" s="13" t="n">
        <x:v>39251405.2857</x:v>
      </x:c>
      <x:c r="E101" s="13" t="n">
        <x:v>49537447.8093</x:v>
      </x:c>
      <x:c r="F101" s="13" t="n">
        <x:v>-10286042.5236</x:v>
      </x:c>
      <x:c r="G101" s="13" t="n">
        <x:v>177904466</x:v>
      </x:c>
      <x:c r="H101" s="13" t="n">
        <x:v>20617226.322</x:v>
      </x:c>
      <x:c r="I101" s="13" t="n">
        <x:v>157287239.678</x:v>
      </x:c>
      <x:c r="J101" s="13" t="n">
        <x:v>2000000</x:v>
      </x:c>
    </x:row>
    <x:row r="102" ht="19" customHeight="1">
      <x:c r="A102" s="1" t="str">
        <x:v>project-cradle</x:v>
      </x:c>
      <x:c r="B102" s="1" t="str">
        <x:v>downside</x:v>
      </x:c>
      <x:c r="C102" s="12" t="n">
        <x:v>2026</x:v>
      </x:c>
      <x:c r="D102" s="13" t="n">
        <x:v>229979.5</x:v>
      </x:c>
      <x:c r="E102" s="13" t="n">
        <x:v>294507.9</x:v>
      </x:c>
      <x:c r="F102" s="13" t="n">
        <x:v>-64528.4</x:v>
      </x:c>
      <x:c r="G102" s="13" t="n">
        <x:v>229979.5</x:v>
      </x:c>
      <x:c r="H102" s="13" t="n">
        <x:v>294507.9</x:v>
      </x:c>
      <x:c r="I102" s="13" t="n">
        <x:v>-64528.4</x:v>
      </x:c>
      <x:c r="J102" s="13" t="n">
        <x:v>0</x:v>
      </x:c>
    </x:row>
    <x:row r="103" ht="19" customHeight="1">
      <x:c r="A103" s="1" t="str">
        <x:v>project-cradle</x:v>
      </x:c>
      <x:c r="B103" s="1" t="str">
        <x:v>downside</x:v>
      </x:c>
      <x:c r="C103" s="12" t="n">
        <x:v>2027</x:v>
      </x:c>
      <x:c r="D103" s="13" t="n">
        <x:v>461794.608</x:v>
      </x:c>
      <x:c r="E103" s="13" t="n">
        <x:v>3049558.1898</x:v>
      </x:c>
      <x:c r="F103" s="13" t="n">
        <x:v>-2587763.5818</x:v>
      </x:c>
      <x:c r="G103" s="13" t="n">
        <x:v>-2292639.4098</x:v>
      </x:c>
      <x:c r="H103" s="13" t="n">
        <x:v>359652.572</x:v>
      </x:c>
      <x:c r="I103" s="13" t="n">
        <x:v>-2652291.9818</x:v>
      </x:c>
      <x:c r="J103" s="13" t="n">
        <x:v>-3903024.2153</x:v>
      </x:c>
    </x:row>
    <x:row r="104" ht="19" customHeight="1">
      <x:c r="A104" s="1" t="str">
        <x:v>project-cradle</x:v>
      </x:c>
      <x:c r="B104" s="1" t="str">
        <x:v>downside</x:v>
      </x:c>
      <x:c r="C104" s="12" t="n">
        <x:v>2028</x:v>
      </x:c>
      <x:c r="D104" s="13" t="n">
        <x:v>696291.552</x:v>
      </x:c>
      <x:c r="E104" s="13" t="n">
        <x:v>3456482.07</x:v>
      </x:c>
      <x:c r="F104" s="13" t="n">
        <x:v>-2760190.518</x:v>
      </x:c>
      <x:c r="G104" s="13" t="n">
        <x:v>-5041439.3838</x:v>
      </x:c>
      <x:c r="H104" s="13" t="n">
        <x:v>371043.116</x:v>
      </x:c>
      <x:c r="I104" s="13" t="n">
        <x:v>-5412482.4998</x:v>
      </x:c>
      <x:c r="J104" s="13" t="n">
        <x:v>-6484917.8549</x:v>
      </x:c>
    </x:row>
    <x:row r="105" ht="19" customHeight="1">
      <x:c r="A105" s="1" t="str">
        <x:v>project-cradle</x:v>
      </x:c>
      <x:c r="B105" s="1" t="str">
        <x:v>downside</x:v>
      </x:c>
      <x:c r="C105" s="12" t="n">
        <x:v>2029</x:v>
      </x:c>
      <x:c r="D105" s="13" t="n">
        <x:v>638169.84</x:v>
      </x:c>
      <x:c r="E105" s="13" t="n">
        <x:v>3538835.6518</x:v>
      </x:c>
      <x:c r="F105" s="13" t="n">
        <x:v>-2900665.8118</x:v>
      </x:c>
      <x:c r="G105" s="13" t="n">
        <x:v>-7942105.1956</x:v>
      </x:c>
      <x:c r="H105" s="13" t="n">
        <x:v>371043.116</x:v>
      </x:c>
      <x:c r="I105" s="13" t="n">
        <x:v>-8313148.3116</x:v>
      </x:c>
      <x:c r="J105" s="13" t="n">
        <x:v>-9161718.0545</x:v>
      </x:c>
    </x:row>
    <x:row r="106" ht="19" customHeight="1">
      <x:c r="A106" s="1" t="str">
        <x:v>project-cradle</x:v>
      </x:c>
      <x:c r="B106" s="1" t="str">
        <x:v>downside</x:v>
      </x:c>
      <x:c r="C106" s="12" t="n">
        <x:v>2030</x:v>
      </x:c>
      <x:c r="D106" s="13" t="n">
        <x:v>639338.832</x:v>
      </x:c>
      <x:c r="E106" s="13" t="n">
        <x:v>3606863.177</x:v>
      </x:c>
      <x:c r="F106" s="13" t="n">
        <x:v>-2967524.345</x:v>
      </x:c>
      <x:c r="G106" s="13" t="n">
        <x:v>-10921020.0846</x:v>
      </x:c>
      <x:c r="H106" s="13" t="n">
        <x:v>359652.572</x:v>
      </x:c>
      <x:c r="I106" s="13" t="n">
        <x:v>-11280672.6566</x:v>
      </x:c>
      <x:c r="J106" s="13" t="n">
        <x:v>-11863244.8901</x:v>
      </x:c>
    </x:row>
    <x:row r="107" ht="19" customHeight="1">
      <x:c r="A107" s="1" t="str">
        <x:v>project-cradle</x:v>
      </x:c>
      <x:c r="B107" s="1" t="str">
        <x:v>downside</x:v>
      </x:c>
      <x:c r="C107" s="12" t="n">
        <x:v>2031</x:v>
      </x:c>
      <x:c r="D107" s="13" t="n">
        <x:v>696291.552</x:v>
      </x:c>
      <x:c r="E107" s="13" t="n">
        <x:v>3726075.4932</x:v>
      </x:c>
      <x:c r="F107" s="13" t="n">
        <x:v>-3029783.9412</x:v>
      </x:c>
      <x:c r="G107" s="13" t="n">
        <x:v>-13939413.4818</x:v>
      </x:c>
      <x:c r="H107" s="13" t="n">
        <x:v>371043.116</x:v>
      </x:c>
      <x:c r="I107" s="13" t="n">
        <x:v>-14310456.5978</x:v>
      </x:c>
      <x:c r="J107" s="13" t="n">
        <x:v>-14714731.9529</x:v>
      </x:c>
    </x:row>
    <x:row r="108" ht="19" customHeight="1">
      <x:c r="A108" s="1" t="str">
        <x:v>willow</x:v>
      </x:c>
      <x:c r="B108" s="1" t="str">
        <x:v>downside</x:v>
      </x:c>
      <x:c r="C108" s="12" t="n">
        <x:v>2026</x:v>
      </x:c>
      <x:c r="D108" s="13" t="n">
        <x:v>0</x:v>
      </x:c>
      <x:c r="E108" s="13" t="n">
        <x:v>248512</x:v>
      </x:c>
      <x:c r="F108" s="13" t="n">
        <x:v>-248512</x:v>
      </x:c>
      <x:c r="G108" s="13" t="n">
        <x:v>0</x:v>
      </x:c>
      <x:c r="H108" s="13" t="n">
        <x:v>248512</x:v>
      </x:c>
      <x:c r="I108" s="13" t="n">
        <x:v>-248512</x:v>
      </x:c>
      <x:c r="J108" s="13" t="n">
        <x:v>0</x:v>
      </x:c>
    </x:row>
    <x:row r="109" ht="19" customHeight="1">
      <x:c r="A109" s="1" t="str">
        <x:v>willow</x:v>
      </x:c>
      <x:c r="B109" s="1" t="str">
        <x:v>downside</x:v>
      </x:c>
      <x:c r="C109" s="12" t="n">
        <x:v>2027</x:v>
      </x:c>
      <x:c r="D109" s="13" t="n">
        <x:v>0</x:v>
      </x:c>
      <x:c r="E109" s="13" t="n">
        <x:v>4420640</x:v>
      </x:c>
      <x:c r="F109" s="13" t="n">
        <x:v>-4420640</x:v>
      </x:c>
      <x:c r="G109" s="13" t="n">
        <x:v>-4420640</x:v>
      </x:c>
      <x:c r="H109" s="13" t="n">
        <x:v>248512</x:v>
      </x:c>
      <x:c r="I109" s="13" t="n">
        <x:v>-4669152</x:v>
      </x:c>
      <x:c r="J109" s="13" t="n">
        <x:v>-4821600</x:v>
      </x:c>
    </x:row>
    <x:row r="110" ht="19" customHeight="1">
      <x:c r="A110" s="1" t="str">
        <x:v>willow</x:v>
      </x:c>
      <x:c r="B110" s="1" t="str">
        <x:v>downside</x:v>
      </x:c>
      <x:c r="C110" s="12" t="n">
        <x:v>2028</x:v>
      </x:c>
      <x:c r="D110" s="13" t="n">
        <x:v>0</x:v>
      </x:c>
      <x:c r="E110" s="13" t="n">
        <x:v>4236176</x:v>
      </x:c>
      <x:c r="F110" s="13" t="n">
        <x:v>-4236176</x:v>
      </x:c>
      <x:c r="G110" s="13" t="n">
        <x:v>-8648976</x:v>
      </x:c>
      <x:c r="H110" s="13" t="n">
        <x:v>256352</x:v>
      </x:c>
      <x:c r="I110" s="13" t="n">
        <x:v>-8905328</x:v>
      </x:c>
      <x:c r="J110" s="13" t="n">
        <x:v>-9009616</x:v>
      </x:c>
    </x:row>
    <x:row r="111" ht="19" customHeight="1">
      <x:c r="A111" s="1" t="str">
        <x:v>willow</x:v>
      </x:c>
      <x:c r="B111" s="1" t="str">
        <x:v>downside</x:v>
      </x:c>
      <x:c r="C111" s="12" t="n">
        <x:v>2029</x:v>
      </x:c>
      <x:c r="D111" s="13" t="n">
        <x:v>0</x:v>
      </x:c>
      <x:c r="E111" s="13" t="n">
        <x:v>4320690.08</x:v>
      </x:c>
      <x:c r="F111" s="13" t="n">
        <x:v>-4320690.08</x:v>
      </x:c>
      <x:c r="G111" s="13" t="n">
        <x:v>-12977506.08</x:v>
      </x:c>
      <x:c r="H111" s="13" t="n">
        <x:v>248512</x:v>
      </x:c>
      <x:c r="I111" s="13" t="n">
        <x:v>-13226018.08</x:v>
      </x:c>
      <x:c r="J111" s="13" t="n">
        <x:v>-13297826.08</x:v>
      </x:c>
    </x:row>
    <x:row r="112" ht="19" customHeight="1">
      <x:c r="A112" s="1" t="str">
        <x:v>willow</x:v>
      </x:c>
      <x:c r="B112" s="1" t="str">
        <x:v>downside</x:v>
      </x:c>
      <x:c r="C112" s="12" t="n">
        <x:v>2030</x:v>
      </x:c>
      <x:c r="D112" s="13" t="n">
        <x:v>0</x:v>
      </x:c>
      <x:c r="E112" s="13" t="n">
        <x:v>4396528.3824</x:v>
      </x:c>
      <x:c r="F112" s="13" t="n">
        <x:v>-4396528.3824</x:v>
      </x:c>
      <x:c r="G112" s="13" t="n">
        <x:v>-17374034.4624</x:v>
      </x:c>
      <x:c r="H112" s="13" t="n">
        <x:v>248512</x:v>
      </x:c>
      <x:c r="I112" s="13" t="n">
        <x:v>-17622546.4624</x:v>
      </x:c>
      <x:c r="J112" s="13" t="n">
        <x:v>-17654034.4624</x:v>
      </x:c>
    </x:row>
    <x:row r="113" ht="19" customHeight="1">
      <x:c r="A113" s="1" t="str">
        <x:v>willow</x:v>
      </x:c>
      <x:c r="B113" s="1" t="str">
        <x:v>downside</x:v>
      </x:c>
      <x:c r="C113" s="12" t="n">
        <x:v>2031</x:v>
      </x:c>
      <x:c r="D113" s="13" t="n">
        <x:v>0</x:v>
      </x:c>
      <x:c r="E113" s="13" t="n">
        <x:v>4566840.2212</x:v>
      </x:c>
      <x:c r="F113" s="13" t="n">
        <x:v>-4566840.2212</x:v>
      </x:c>
      <x:c r="G113" s="13" t="n">
        <x:v>-21940874.6836</x:v>
      </x:c>
      <x:c r="H113" s="13" t="n">
        <x:v>248512</x:v>
      </x:c>
      <x:c r="I113" s="13" t="n">
        <x:v>-22189386.6836</x:v>
      </x:c>
      <x:c r="J113" s="13" t="n">
        <x:v>-22180554.6836</x:v>
      </x:c>
    </x:row>
    <x:row r="114" ht="19" customHeight="1">
      <x:c r="A114" s="1" t="str">
        <x:v>advisory</x:v>
      </x:c>
      <x:c r="B114" s="1" t="str">
        <x:v>expansion</x:v>
      </x:c>
      <x:c r="C114" s="12" t="n">
        <x:v>2026</x:v>
      </x:c>
      <x:c r="D114" s="13" t="n">
        <x:v>459959</x:v>
      </x:c>
      <x:c r="E114" s="13" t="n">
        <x:v>497024</x:v>
      </x:c>
      <x:c r="F114" s="13" t="n">
        <x:v>-37065</x:v>
      </x:c>
      <x:c r="G114" s="13" t="n">
        <x:v>459959</x:v>
      </x:c>
      <x:c r="H114" s="13" t="n">
        <x:v>497024</x:v>
      </x:c>
      <x:c r="I114" s="13" t="n">
        <x:v>-37065</x:v>
      </x:c>
      <x:c r="J114" s="13" t="n">
        <x:v>0</x:v>
      </x:c>
    </x:row>
    <x:row r="115" ht="19" customHeight="1">
      <x:c r="A115" s="1" t="str">
        <x:v>advisory</x:v>
      </x:c>
      <x:c r="B115" s="1" t="str">
        <x:v>expansion</x:v>
      </x:c>
      <x:c r="C115" s="12" t="n">
        <x:v>2027</x:v>
      </x:c>
      <x:c r="D115" s="13" t="n">
        <x:v>10982400</x:v>
      </x:c>
      <x:c r="E115" s="13" t="n">
        <x:v>5495001.3952</x:v>
      </x:c>
      <x:c r="F115" s="13" t="n">
        <x:v>5487398.6048</x:v>
      </x:c>
      <x:c r="G115" s="13" t="n">
        <x:v>7417980.8368</x:v>
      </x:c>
      <x:c r="H115" s="13" t="n">
        <x:v>1967647.232</x:v>
      </x:c>
      <x:c r="I115" s="13" t="n">
        <x:v>5450333.6048</x:v>
      </x:c>
      <x:c r="J115" s="13" t="n">
        <x:v>6097001.6768</x:v>
      </x:c>
    </x:row>
    <x:row r="116" ht="19" customHeight="1">
      <x:c r="A116" s="1" t="str">
        <x:v>advisory</x:v>
      </x:c>
      <x:c r="B116" s="1" t="str">
        <x:v>expansion</x:v>
      </x:c>
      <x:c r="C116" s="12" t="n">
        <x:v>2028</x:v>
      </x:c>
      <x:c r="D116" s="13" t="n">
        <x:v>14299584</x:v>
      </x:c>
      <x:c r="E116" s="13" t="n">
        <x:v>5702991.744</x:v>
      </x:c>
      <x:c r="F116" s="13" t="n">
        <x:v>8596592.256</x:v>
      </x:c>
      <x:c r="G116" s="13" t="n">
        <x:v>16014573.0928</x:v>
      </x:c>
      <x:c r="H116" s="13" t="n">
        <x:v>1967647.232</x:v>
      </x:c>
      <x:c r="I116" s="13" t="n">
        <x:v>14046925.8608</x:v>
      </x:c>
      <x:c r="J116" s="13" t="n">
        <x:v>14693593.9328</x:v>
      </x:c>
    </x:row>
    <x:row r="117" ht="19" customHeight="1">
      <x:c r="A117" s="1" t="str">
        <x:v>advisory</x:v>
      </x:c>
      <x:c r="B117" s="1" t="str">
        <x:v>expansion</x:v>
      </x:c>
      <x:c r="C117" s="12" t="n">
        <x:v>2029</x:v>
      </x:c>
      <x:c r="D117" s="13" t="n">
        <x:v>14299584</x:v>
      </x:c>
      <x:c r="E117" s="13" t="n">
        <x:v>5865278.544</x:v>
      </x:c>
      <x:c r="F117" s="13" t="n">
        <x:v>8434305.456</x:v>
      </x:c>
      <x:c r="G117" s="13" t="n">
        <x:v>24448878.5488</x:v>
      </x:c>
      <x:c r="H117" s="13" t="n">
        <x:v>1967647.232</x:v>
      </x:c>
      <x:c r="I117" s="13" t="n">
        <x:v>22481231.3168</x:v>
      </x:c>
      <x:c r="J117" s="13" t="n">
        <x:v>23127899.3888</x:v>
      </x:c>
    </x:row>
    <x:row r="118" ht="19" customHeight="1">
      <x:c r="A118" s="1" t="str">
        <x:v>advisory</x:v>
      </x:c>
      <x:c r="B118" s="1" t="str">
        <x:v>expansion</x:v>
      </x:c>
      <x:c r="C118" s="12" t="n">
        <x:v>2030</x:v>
      </x:c>
      <x:c r="D118" s="13" t="n">
        <x:v>14299584</x:v>
      </x:c>
      <x:c r="E118" s="13" t="n">
        <x:v>6032433.948</x:v>
      </x:c>
      <x:c r="F118" s="13" t="n">
        <x:v>8267150.052</x:v>
      </x:c>
      <x:c r="G118" s="13" t="n">
        <x:v>32716028.6008</x:v>
      </x:c>
      <x:c r="H118" s="13" t="n">
        <x:v>1967647.232</x:v>
      </x:c>
      <x:c r="I118" s="13" t="n">
        <x:v>30748381.3688</x:v>
      </x:c>
      <x:c r="J118" s="13" t="n">
        <x:v>31395049.4408</x:v>
      </x:c>
    </x:row>
    <x:row r="119" ht="19" customHeight="1">
      <x:c r="A119" s="1" t="str">
        <x:v>advisory</x:v>
      </x:c>
      <x:c r="B119" s="1" t="str">
        <x:v>expansion</x:v>
      </x:c>
      <x:c r="C119" s="12" t="n">
        <x:v>2031</x:v>
      </x:c>
      <x:c r="D119" s="13" t="n">
        <x:v>14299584</x:v>
      </x:c>
      <x:c r="E119" s="13" t="n">
        <x:v>6204604.0212</x:v>
      </x:c>
      <x:c r="F119" s="13" t="n">
        <x:v>8094979.9788</x:v>
      </x:c>
      <x:c r="G119" s="13" t="n">
        <x:v>40811008.5796</x:v>
      </x:c>
      <x:c r="H119" s="13" t="n">
        <x:v>1967647.232</x:v>
      </x:c>
      <x:c r="I119" s="13" t="n">
        <x:v>38843361.3476</x:v>
      </x:c>
      <x:c r="J119" s="13" t="n">
        <x:v>39490029.4196</x:v>
      </x:c>
    </x:row>
    <x:row r="120" ht="19" customHeight="1">
      <x:c r="A120" s="1" t="str">
        <x:v>american-resource-utility</x:v>
      </x:c>
      <x:c r="B120" s="1" t="str">
        <x:v>expansion</x:v>
      </x:c>
      <x:c r="C120" s="12" t="n">
        <x:v>2026</x:v>
      </x:c>
      <x:c r="D120" s="13" t="n">
        <x:v>42425942</x:v>
      </x:c>
      <x:c r="E120" s="13" t="n">
        <x:v>39334715</x:v>
      </x:c>
      <x:c r="F120" s="13" t="n">
        <x:v>3091227</x:v>
      </x:c>
      <x:c r="G120" s="13" t="n">
        <x:v>112876806</x:v>
      </x:c>
      <x:c r="H120" s="13" t="n">
        <x:v>30070699</x:v>
      </x:c>
      <x:c r="I120" s="13" t="n">
        <x:v>82806107</x:v>
      </x:c>
      <x:c r="J120" s="13" t="n">
        <x:v>4198440</x:v>
      </x:c>
    </x:row>
    <x:row r="121" ht="19" customHeight="1">
      <x:c r="A121" s="1" t="str">
        <x:v>american-resource-utility</x:v>
      </x:c>
      <x:c r="B121" s="1" t="str">
        <x:v>expansion</x:v>
      </x:c>
      <x:c r="C121" s="12" t="n">
        <x:v>2027</x:v>
      </x:c>
      <x:c r="D121" s="13" t="n">
        <x:v>47494086</x:v>
      </x:c>
      <x:c r="E121" s="13" t="n">
        <x:v>42962547</x:v>
      </x:c>
      <x:c r="F121" s="13" t="n">
        <x:v>4531539</x:v>
      </x:c>
      <x:c r="G121" s="13" t="n">
        <x:v>113387721</x:v>
      </x:c>
      <x:c r="H121" s="13" t="n">
        <x:v>25913865</x:v>
      </x:c>
      <x:c r="I121" s="13" t="n">
        <x:v>87473856</x:v>
      </x:c>
      <x:c r="J121" s="13" t="n">
        <x:v>1604659</x:v>
      </x:c>
    </x:row>
    <x:row r="122" ht="19" customHeight="1">
      <x:c r="A122" s="1" t="str">
        <x:v>american-resource-utility</x:v>
      </x:c>
      <x:c r="B122" s="1" t="str">
        <x:v>expansion</x:v>
      </x:c>
      <x:c r="C122" s="12" t="n">
        <x:v>2028</x:v>
      </x:c>
      <x:c r="D122" s="13" t="n">
        <x:v>52226226</x:v>
      </x:c>
      <x:c r="E122" s="13" t="n">
        <x:v>46286487</x:v>
      </x:c>
      <x:c r="F122" s="13" t="n">
        <x:v>5939739</x:v>
      </x:c>
      <x:c r="G122" s="13" t="n">
        <x:v>120560692</x:v>
      </x:c>
      <x:c r="H122" s="13" t="n">
        <x:v>24096690</x:v>
      </x:c>
      <x:c r="I122" s="13" t="n">
        <x:v>96464002</x:v>
      </x:c>
      <x:c r="J122" s="13" t="n">
        <x:v>4650136</x:v>
      </x:c>
    </x:row>
    <x:row r="123" ht="19" customHeight="1">
      <x:c r="A123" s="1" t="str">
        <x:v>american-resource-utility</x:v>
      </x:c>
      <x:c r="B123" s="1" t="str">
        <x:v>expansion</x:v>
      </x:c>
      <x:c r="C123" s="12" t="n">
        <x:v>2029</x:v>
      </x:c>
      <x:c r="D123" s="13" t="n">
        <x:v>57508572</x:v>
      </x:c>
      <x:c r="E123" s="13" t="n">
        <x:v>49955942</x:v>
      </x:c>
      <x:c r="F123" s="13" t="n">
        <x:v>7552630</x:v>
      </x:c>
      <x:c r="G123" s="13" t="n">
        <x:v>126510947</x:v>
      </x:c>
      <x:c r="H123" s="13" t="n">
        <x:v>22494315</x:v>
      </x:c>
      <x:c r="I123" s="13" t="n">
        <x:v>104016632</x:v>
      </x:c>
      <x:c r="J123" s="13" t="n">
        <x:v>10373068</x:v>
      </x:c>
    </x:row>
    <x:row r="124" ht="19" customHeight="1">
      <x:c r="A124" s="1" t="str">
        <x:v>american-resource-utility</x:v>
      </x:c>
      <x:c r="B124" s="1" t="str">
        <x:v>expansion</x:v>
      </x:c>
      <x:c r="C124" s="12" t="n">
        <x:v>2030</x:v>
      </x:c>
      <x:c r="D124" s="13" t="n">
        <x:v>63145958</x:v>
      </x:c>
      <x:c r="E124" s="13" t="n">
        <x:v>53187401.2</x:v>
      </x:c>
      <x:c r="F124" s="13" t="n">
        <x:v>9958556.8</x:v>
      </x:c>
      <x:c r="G124" s="13" t="n">
        <x:v>134878387.8</x:v>
      </x:c>
      <x:c r="H124" s="13" t="n">
        <x:v>20903199</x:v>
      </x:c>
      <x:c r="I124" s="13" t="n">
        <x:v>113975188.8</x:v>
      </x:c>
      <x:c r="J124" s="13" t="n">
        <x:v>19430470.8</x:v>
      </x:c>
    </x:row>
    <x:row r="125" ht="19" customHeight="1">
      <x:c r="A125" s="1" t="str">
        <x:v>american-resource-utility</x:v>
      </x:c>
      <x:c r="B125" s="1" t="str">
        <x:v>expansion</x:v>
      </x:c>
      <x:c r="C125" s="12" t="n">
        <x:v>2031</x:v>
      </x:c>
      <x:c r="D125" s="13" t="n">
        <x:v>69022906</x:v>
      </x:c>
      <x:c r="E125" s="13" t="n">
        <x:v>56166276.286</x:v>
      </x:c>
      <x:c r="F125" s="13" t="n">
        <x:v>12856629.714</x:v>
      </x:c>
      <x:c r="G125" s="13" t="n">
        <x:v>147255742.514</x:v>
      </x:c>
      <x:c r="H125" s="13" t="n">
        <x:v>20423924</x:v>
      </x:c>
      <x:c r="I125" s="13" t="n">
        <x:v>126831818.514</x:v>
      </x:c>
      <x:c r="J125" s="13" t="n">
        <x:v>32113008.514</x:v>
      </x:c>
    </x:row>
    <x:row r="126" ht="19" customHeight="1">
      <x:c r="A126" s="1" t="str">
        <x:v>atlas-meridian</x:v>
      </x:c>
      <x:c r="B126" s="1" t="str">
        <x:v>expansion</x:v>
      </x:c>
      <x:c r="C126" s="12" t="n">
        <x:v>2026</x:v>
      </x:c>
      <x:c r="D126" s="13" t="n">
        <x:v>229979.5</x:v>
      </x:c>
      <x:c r="E126" s="13" t="n">
        <x:v>248512</x:v>
      </x:c>
      <x:c r="F126" s="13" t="n">
        <x:v>-18532.5</x:v>
      </x:c>
      <x:c r="G126" s="13" t="n">
        <x:v>229979.5</x:v>
      </x:c>
      <x:c r="H126" s="13" t="n">
        <x:v>248512</x:v>
      </x:c>
      <x:c r="I126" s="13" t="n">
        <x:v>-18532.5</x:v>
      </x:c>
      <x:c r="J126" s="13" t="n">
        <x:v>229979.5</x:v>
      </x:c>
    </x:row>
    <x:row r="127" ht="19" customHeight="1">
      <x:c r="A127" s="1" t="str">
        <x:v>atlas-meridian</x:v>
      </x:c>
      <x:c r="B127" s="1" t="str">
        <x:v>expansion</x:v>
      </x:c>
      <x:c r="C127" s="12" t="n">
        <x:v>2027</x:v>
      </x:c>
      <x:c r="D127" s="13" t="n">
        <x:v>4511000</x:v>
      </x:c>
      <x:c r="E127" s="13" t="n">
        <x:v>6952385.1772</x:v>
      </x:c>
      <x:c r="F127" s="13" t="n">
        <x:v>-2441385.1772</x:v>
      </x:c>
      <x:c r="G127" s="13" t="n">
        <x:v>-762893.6772</x:v>
      </x:c>
      <x:c r="H127" s="13" t="n">
        <x:v>1697024</x:v>
      </x:c>
      <x:c r="I127" s="13" t="n">
        <x:v>-2459917.6772</x:v>
      </x:c>
      <x:c r="J127" s="13" t="n">
        <x:v>-946349.6772</x:v>
      </x:c>
    </x:row>
    <x:row r="128" ht="19" customHeight="1">
      <x:c r="A128" s="1" t="str">
        <x:v>atlas-meridian</x:v>
      </x:c>
      <x:c r="B128" s="1" t="str">
        <x:v>expansion</x:v>
      </x:c>
      <x:c r="C128" s="12" t="n">
        <x:v>2028</x:v>
      </x:c>
      <x:c r="D128" s="13" t="n">
        <x:v>5761184</x:v>
      </x:c>
      <x:c r="E128" s="13" t="n">
        <x:v>7364080.2708</x:v>
      </x:c>
      <x:c r="F128" s="13" t="n">
        <x:v>-1602896.2708</x:v>
      </x:c>
      <x:c r="G128" s="13" t="n">
        <x:v>-2310253.948</x:v>
      </x:c>
      <x:c r="H128" s="13" t="n">
        <x:v>1752560</x:v>
      </x:c>
      <x:c r="I128" s="13" t="n">
        <x:v>-4062813.948</x:v>
      </x:c>
      <x:c r="J128" s="13" t="n">
        <x:v>-2501048.188</x:v>
      </x:c>
    </x:row>
    <x:row r="129" ht="19" customHeight="1">
      <x:c r="A129" s="1" t="str">
        <x:v>atlas-meridian</x:v>
      </x:c>
      <x:c r="B129" s="1" t="str">
        <x:v>expansion</x:v>
      </x:c>
      <x:c r="C129" s="12" t="n">
        <x:v>2029</x:v>
      </x:c>
      <x:c r="D129" s="13" t="n">
        <x:v>5904271.36</x:v>
      </x:c>
      <x:c r="E129" s="13" t="n">
        <x:v>7572166.8612</x:v>
      </x:c>
      <x:c r="F129" s="13" t="n">
        <x:v>-1667895.5012</x:v>
      </x:c>
      <x:c r="G129" s="13" t="n">
        <x:v>-3918877.7692</x:v>
      </x:c>
      <x:c r="H129" s="13" t="n">
        <x:v>1811831.68</x:v>
      </x:c>
      <x:c r="I129" s="13" t="n">
        <x:v>-5730709.4492</x:v>
      </x:c>
      <x:c r="J129" s="13" t="n">
        <x:v>-4117303.7788</x:v>
      </x:c>
    </x:row>
    <x:row r="130" ht="19" customHeight="1">
      <x:c r="A130" s="1" t="str">
        <x:v>atlas-meridian</x:v>
      </x:c>
      <x:c r="B130" s="1" t="str">
        <x:v>expansion</x:v>
      </x:c>
      <x:c r="C130" s="12" t="n">
        <x:v>2030</x:v>
      </x:c>
      <x:c r="D130" s="13" t="n">
        <x:v>6053082.2144</x:v>
      </x:c>
      <x:c r="E130" s="13" t="n">
        <x:v>7786496.1092</x:v>
      </x:c>
      <x:c r="F130" s="13" t="n">
        <x:v>-1733413.8948</x:v>
      </x:c>
      <x:c r="G130" s="13" t="n">
        <x:v>-5590649.1168</x:v>
      </x:c>
      <x:c r="H130" s="13" t="n">
        <x:v>1873474.2272</x:v>
      </x:c>
      <x:c r="I130" s="13" t="n">
        <x:v>-7464123.344</x:v>
      </x:c>
      <x:c r="J130" s="13" t="n">
        <x:v>-5797012.1668</x:v>
      </x:c>
    </x:row>
    <x:row r="131" ht="19" customHeight="1">
      <x:c r="A131" s="1" t="str">
        <x:v>atlas-meridian</x:v>
      </x:c>
      <x:c r="B131" s="1" t="str">
        <x:v>expansion</x:v>
      </x:c>
      <x:c r="C131" s="12" t="n">
        <x:v>2031</x:v>
      </x:c>
      <x:c r="D131" s="13" t="n">
        <x:v>6207845.5019</x:v>
      </x:c>
      <x:c r="E131" s="13" t="n">
        <x:v>8007255.3036</x:v>
      </x:c>
      <x:c r="F131" s="13" t="n">
        <x:v>-1799409.8017</x:v>
      </x:c>
      <x:c r="G131" s="13" t="n">
        <x:v>-7325950.6704</x:v>
      </x:c>
      <x:c r="H131" s="13" t="n">
        <x:v>1937582.4753</x:v>
      </x:c>
      <x:c r="I131" s="13" t="n">
        <x:v>-9263533.1457</x:v>
      </x:c>
      <x:c r="J131" s="13" t="n">
        <x:v>-7540568.242</x:v>
      </x:c>
    </x:row>
    <x:row r="132" ht="19" customHeight="1">
      <x:c r="A132" s="1" t="str">
        <x:v>corporate</x:v>
      </x:c>
      <x:c r="B132" s="1" t="str">
        <x:v>expansion</x:v>
      </x:c>
      <x:c r="C132" s="12" t="n">
        <x:v>2026</x:v>
      </x:c>
      <x:c r="D132" s="13" t="n">
        <x:v>0</x:v>
      </x:c>
      <x:c r="E132" s="13" t="n">
        <x:v>910950.4001</x:v>
      </x:c>
      <x:c r="F132" s="13" t="n">
        <x:v>-910950.4001</x:v>
      </x:c>
      <x:c r="G132" s="13" t="n">
        <x:v>275169865.1334</x:v>
      </x:c>
      <x:c r="H132" s="13" t="n">
        <x:v>35302666.6668</x:v>
      </x:c>
      <x:c r="I132" s="13" t="n">
        <x:v>239867198.4666</x:v>
      </x:c>
      <x:c r="J132" s="13" t="n">
        <x:v>11893098.8667</x:v>
      </x:c>
    </x:row>
    <x:row r="133" ht="19" customHeight="1">
      <x:c r="A133" s="1" t="str">
        <x:v>corporate</x:v>
      </x:c>
      <x:c r="B133" s="1" t="str">
        <x:v>expansion</x:v>
      </x:c>
      <x:c r="C133" s="12" t="n">
        <x:v>2027</x:v>
      </x:c>
      <x:c r="D133" s="13" t="n">
        <x:v>999999.9996</x:v>
      </x:c>
      <x:c r="E133" s="13" t="n">
        <x:v>40417847.7105</x:v>
      </x:c>
      <x:c r="F133" s="13" t="n">
        <x:v>-39417847.7109</x:v>
      </x:c>
      <x:c r="G133" s="13" t="n">
        <x:v>253701056.5984</x:v>
      </x:c>
      <x:c r="H133" s="13" t="n">
        <x:v>32932020.7668</x:v>
      </x:c>
      <x:c r="I133" s="13" t="n">
        <x:v>220769035.8316</x:v>
      </x:c>
      <x:c r="J133" s="13" t="n">
        <x:v>-20540421.8435</x:v>
      </x:c>
    </x:row>
    <x:row r="134" ht="19" customHeight="1">
      <x:c r="A134" s="1" t="str">
        <x:v>corporate</x:v>
      </x:c>
      <x:c r="B134" s="1" t="str">
        <x:v>expansion</x:v>
      </x:c>
      <x:c r="C134" s="12" t="n">
        <x:v>2028</x:v>
      </x:c>
      <x:c r="D134" s="13" t="n">
        <x:v>1029999.9996</x:v>
      </x:c>
      <x:c r="E134" s="13" t="n">
        <x:v>41677296.3768</x:v>
      </x:c>
      <x:c r="F134" s="13" t="n">
        <x:v>-40647296.3772</x:v>
      </x:c>
      <x:c r="G134" s="13" t="n">
        <x:v>233090104.2212</x:v>
      </x:c>
      <x:c r="H134" s="13" t="n">
        <x:v>31732020.7668</x:v>
      </x:c>
      <x:c r="I134" s="13" t="n">
        <x:v>201358083.4544</x:v>
      </x:c>
      <x:c r="J134" s="13" t="n">
        <x:v>-61239524.8959</x:v>
      </x:c>
    </x:row>
    <x:row r="135" ht="19" customHeight="1">
      <x:c r="A135" s="1" t="str">
        <x:v>corporate</x:v>
      </x:c>
      <x:c r="B135" s="1" t="str">
        <x:v>expansion</x:v>
      </x:c>
      <x:c r="C135" s="12" t="n">
        <x:v>2029</x:v>
      </x:c>
      <x:c r="D135" s="13" t="n">
        <x:v>1060899.9996</x:v>
      </x:c>
      <x:c r="E135" s="13" t="n">
        <x:v>42728662.5368</x:v>
      </x:c>
      <x:c r="F135" s="13" t="n">
        <x:v>-41667762.5372</x:v>
      </x:c>
      <x:c r="G135" s="13" t="n">
        <x:v>192499675.684</x:v>
      </x:c>
      <x:c r="H135" s="13" t="n">
        <x:v>30532020.7668</x:v>
      </x:c>
      <x:c r="I135" s="13" t="n">
        <x:v>161967654.9172</x:v>
      </x:c>
      <x:c r="J135" s="13" t="n">
        <x:v>-103176113.1083</x:v>
      </x:c>
    </x:row>
    <x:row r="136" ht="19" customHeight="1">
      <x:c r="A136" s="1" t="str">
        <x:v>corporate</x:v>
      </x:c>
      <x:c r="B136" s="1" t="str">
        <x:v>expansion</x:v>
      </x:c>
      <x:c r="C136" s="12" t="n">
        <x:v>2030</x:v>
      </x:c>
      <x:c r="D136" s="13" t="n">
        <x:v>1092726.9996</x:v>
      </x:c>
      <x:c r="E136" s="13" t="n">
        <x:v>43786326.2816</x:v>
      </x:c>
      <x:c r="F136" s="13" t="n">
        <x:v>-42693599.282</x:v>
      </x:c>
      <x:c r="G136" s="13" t="n">
        <x:v>148606076.402</x:v>
      </x:c>
      <x:c r="H136" s="13" t="n">
        <x:v>29332020.7668</x:v>
      </x:c>
      <x:c r="I136" s="13" t="n">
        <x:v>119274055.6352</x:v>
      </x:c>
      <x:c r="J136" s="13" t="n">
        <x:v>-146151268.8655</x:v>
      </x:c>
    </x:row>
    <x:row r="137" ht="19" customHeight="1">
      <x:c r="A137" s="1" t="str">
        <x:v>corporate</x:v>
      </x:c>
      <x:c r="B137" s="1" t="str">
        <x:v>expansion</x:v>
      </x:c>
      <x:c r="C137" s="12" t="n">
        <x:v>2031</x:v>
      </x:c>
      <x:c r="D137" s="13" t="n">
        <x:v>1125508.8096</x:v>
      </x:c>
      <x:c r="E137" s="13" t="n">
        <x:v>44878059.8072</x:v>
      </x:c>
      <x:c r="F137" s="13" t="n">
        <x:v>-43752550.9976</x:v>
      </x:c>
      <x:c r="G137" s="13" t="n">
        <x:v>103653525.4044</x:v>
      </x:c>
      <x:c r="H137" s="13" t="n">
        <x:v>28132020.7668</x:v>
      </x:c>
      <x:c r="I137" s="13" t="n">
        <x:v>75521504.6376</x:v>
      </x:c>
      <x:c r="J137" s="13" t="n">
        <x:v>-190198489.0623</x:v>
      </x:c>
    </x:row>
    <x:row r="138" ht="19" customHeight="1">
      <x:c r="A138" s="1" t="str">
        <x:v>eliminations</x:v>
      </x:c>
      <x:c r="B138" s="1" t="str">
        <x:v>expansion</x:v>
      </x:c>
      <x:c r="C138" s="12" t="n">
        <x:v>2026</x:v>
      </x:c>
      <x:c r="D138" s="13" t="n">
        <x:v>-1671380</x:v>
      </x:c>
      <x:c r="E138" s="13" t="n">
        <x:v>-1671380</x:v>
      </x:c>
      <x:c r="F138" s="13" t="n">
        <x:v>0</x:v>
      </x:c>
      <x:c r="G138" s="13" t="n">
        <x:v>-302986399</x:v>
      </x:c>
      <x:c r="H138" s="13" t="n">
        <x:v>-49240</x:v>
      </x:c>
      <x:c r="I138" s="13" t="n">
        <x:v>-302937159</x:v>
      </x:c>
      <x:c r="J138" s="13" t="n">
        <x:v>0</x:v>
      </x:c>
    </x:row>
    <x:row r="139" ht="19" customHeight="1">
      <x:c r="A139" s="1" t="str">
        <x:v>eliminations</x:v>
      </x:c>
      <x:c r="B139" s="1" t="str">
        <x:v>expansion</x:v>
      </x:c>
      <x:c r="C139" s="12" t="n">
        <x:v>2027</x:v>
      </x:c>
      <x:c r="D139" s="13" t="n">
        <x:v>-2875071.8567</x:v>
      </x:c>
      <x:c r="E139" s="13" t="n">
        <x:v>-2875071.8567</x:v>
      </x:c>
      <x:c r="F139" s="13" t="n">
        <x:v>0</x:v>
      </x:c>
      <x:c r="G139" s="13" t="n">
        <x:v>-322036061.9996</x:v>
      </x:c>
      <x:c r="H139" s="13" t="n">
        <x:v>-626823.9996</x:v>
      </x:c>
      <x:c r="I139" s="13" t="n">
        <x:v>-321409238</x:v>
      </x:c>
      <x:c r="J139" s="13" t="n">
        <x:v>0</x:v>
      </x:c>
    </x:row>
    <x:row r="140" ht="19" customHeight="1">
      <x:c r="A140" s="1" t="str">
        <x:v>eliminations</x:v>
      </x:c>
      <x:c r="B140" s="1" t="str">
        <x:v>expansion</x:v>
      </x:c>
      <x:c r="C140" s="12" t="n">
        <x:v>2028</x:v>
      </x:c>
      <x:c r="D140" s="13" t="n">
        <x:v>-3045415.8567</x:v>
      </x:c>
      <x:c r="E140" s="13" t="n">
        <x:v>-3045415.8567</x:v>
      </x:c>
      <x:c r="F140" s="13" t="n">
        <x:v>0</x:v>
      </x:c>
      <x:c r="G140" s="13" t="n">
        <x:v>-351066170.9992</x:v>
      </x:c>
      <x:c r="H140" s="13" t="n">
        <x:v>-852823.9992</x:v>
      </x:c>
      <x:c r="I140" s="13" t="n">
        <x:v>-350213347</x:v>
      </x:c>
      <x:c r="J140" s="13" t="n">
        <x:v>0</x:v>
      </x:c>
    </x:row>
    <x:row r="141" ht="19" customHeight="1">
      <x:c r="A141" s="1" t="str">
        <x:v>eliminations</x:v>
      </x:c>
      <x:c r="B141" s="1" t="str">
        <x:v>expansion</x:v>
      </x:c>
      <x:c r="C141" s="12" t="n">
        <x:v>2029</x:v>
      </x:c>
      <x:c r="D141" s="13" t="n">
        <x:v>-3294360.8567</x:v>
      </x:c>
      <x:c r="E141" s="13" t="n">
        <x:v>-3294360.8567</x:v>
      </x:c>
      <x:c r="F141" s="13" t="n">
        <x:v>0</x:v>
      </x:c>
      <x:c r="G141" s="13" t="n">
        <x:v>-354913079.9988</x:v>
      </x:c>
      <x:c r="H141" s="13" t="n">
        <x:v>-1283731.9988</x:v>
      </x:c>
      <x:c r="I141" s="13" t="n">
        <x:v>-353629348</x:v>
      </x:c>
      <x:c r="J141" s="13" t="n">
        <x:v>0</x:v>
      </x:c>
    </x:row>
    <x:row r="142" ht="19" customHeight="1">
      <x:c r="A142" s="1" t="str">
        <x:v>eliminations</x:v>
      </x:c>
      <x:c r="B142" s="1" t="str">
        <x:v>expansion</x:v>
      </x:c>
      <x:c r="C142" s="12" t="n">
        <x:v>2030</x:v>
      </x:c>
      <x:c r="D142" s="13" t="n">
        <x:v>-3376043.9996</x:v>
      </x:c>
      <x:c r="E142" s="13" t="n">
        <x:v>-3376043.9996</x:v>
      </x:c>
      <x:c r="F142" s="13" t="n">
        <x:v>0</x:v>
      </x:c>
      <x:c r="G142" s="13" t="n">
        <x:v>-355339926.7984</x:v>
      </x:c>
      <x:c r="H142" s="13" t="n">
        <x:v>-1710578.7984</x:v>
      </x:c>
      <x:c r="I142" s="13" t="n">
        <x:v>-353629348</x:v>
      </x:c>
      <x:c r="J142" s="13" t="n">
        <x:v>0</x:v>
      </x:c>
    </x:row>
    <x:row r="143" ht="19" customHeight="1">
      <x:c r="A143" s="1" t="str">
        <x:v>eliminations</x:v>
      </x:c>
      <x:c r="B143" s="1" t="str">
        <x:v>expansion</x:v>
      </x:c>
      <x:c r="C143" s="12" t="n">
        <x:v>2031</x:v>
      </x:c>
      <x:c r="D143" s="13" t="n">
        <x:v>-3119237.0953</x:v>
      </x:c>
      <x:c r="E143" s="13" t="n">
        <x:v>-3119237.0953</x:v>
      </x:c>
      <x:c r="F143" s="13" t="n">
        <x:v>0</x:v>
      </x:c>
      <x:c r="G143" s="13" t="n">
        <x:v>-355753002.322</x:v>
      </x:c>
      <x:c r="H143" s="13" t="n">
        <x:v>-2123654.322</x:v>
      </x:c>
      <x:c r="I143" s="13" t="n">
        <x:v>-353629348</x:v>
      </x:c>
      <x:c r="J143" s="13" t="n">
        <x:v>0</x:v>
      </x:c>
    </x:row>
    <x:row r="144" ht="19" customHeight="1">
      <x:c r="A144" s="1" t="str">
        <x:v>foundry-field</x:v>
      </x:c>
      <x:c r="B144" s="1" t="str">
        <x:v>expansion</x:v>
      </x:c>
      <x:c r="C144" s="12" t="n">
        <x:v>2026</x:v>
      </x:c>
      <x:c r="D144" s="13" t="n">
        <x:v>129380082</x:v>
      </x:c>
      <x:c r="E144" s="13" t="n">
        <x:v>139503160.3667</x:v>
      </x:c>
      <x:c r="F144" s="13" t="n">
        <x:v>-10123078.3667</x:v>
      </x:c>
      <x:c r="G144" s="13" t="n">
        <x:v>-10123078.3667</x:v>
      </x:c>
      <x:c r="H144" s="13" t="n">
        <x:v>0</x:v>
      </x:c>
      <x:c r="I144" s="13" t="n">
        <x:v>-10123078.3667</x:v>
      </x:c>
      <x:c r="J144" s="13" t="n">
        <x:v>-10123078.3667</x:v>
      </x:c>
    </x:row>
    <x:row r="145" ht="19" customHeight="1">
      <x:c r="A145" s="1" t="str">
        <x:v>foundry-field</x:v>
      </x:c>
      <x:c r="B145" s="1" t="str">
        <x:v>expansion</x:v>
      </x:c>
      <x:c r="C145" s="12" t="n">
        <x:v>2027</x:v>
      </x:c>
      <x:c r="D145" s="13" t="n">
        <x:v>61098440</x:v>
      </x:c>
      <x:c r="E145" s="13" t="n">
        <x:v>26510969.3975</x:v>
      </x:c>
      <x:c r="F145" s="13" t="n">
        <x:v>34587470.6025</x:v>
      </x:c>
      <x:c r="G145" s="13" t="n">
        <x:v>31685736.2358</x:v>
      </x:c>
      <x:c r="H145" s="13" t="n">
        <x:v>7221344</x:v>
      </x:c>
      <x:c r="I145" s="13" t="n">
        <x:v>24464392.2358</x:v>
      </x:c>
      <x:c r="J145" s="13" t="n">
        <x:v>29985960.2358</x:v>
      </x:c>
    </x:row>
    <x:row r="146" ht="19" customHeight="1">
      <x:c r="A146" s="1" t="str">
        <x:v>foundry-field</x:v>
      </x:c>
      <x:c r="B146" s="1" t="str">
        <x:v>expansion</x:v>
      </x:c>
      <x:c r="C146" s="12" t="n">
        <x:v>2028</x:v>
      </x:c>
      <x:c r="D146" s="13" t="n">
        <x:v>65688896</x:v>
      </x:c>
      <x:c r="E146" s="13" t="n">
        <x:v>26415581.9844</x:v>
      </x:c>
      <x:c r="F146" s="13" t="n">
        <x:v>39273314.0156</x:v>
      </x:c>
      <x:c r="G146" s="13" t="n">
        <x:v>78237677.4514</x:v>
      </x:c>
      <x:c r="H146" s="13" t="n">
        <x:v>14499971.2</x:v>
      </x:c>
      <x:c r="I146" s="13" t="n">
        <x:v>63737706.2514</x:v>
      </x:c>
      <x:c r="J146" s="13" t="n">
        <x:v>74750815.3714</x:v>
      </x:c>
    </x:row>
    <x:row r="147" ht="19" customHeight="1">
      <x:c r="A147" s="1" t="str">
        <x:v>foundry-field</x:v>
      </x:c>
      <x:c r="B147" s="1" t="str">
        <x:v>expansion</x:v>
      </x:c>
      <x:c r="C147" s="12" t="n">
        <x:v>2029</x:v>
      </x:c>
      <x:c r="D147" s="13" t="n">
        <x:v>78033213.44</x:v>
      </x:c>
      <x:c r="E147" s="13" t="n">
        <x:v>27369472.5012</x:v>
      </x:c>
      <x:c r="F147" s="13" t="n">
        <x:v>50663740.9388</x:v>
      </x:c>
      <x:c r="G147" s="13" t="n">
        <x:v>136731798.0382</x:v>
      </x:c>
      <x:c r="H147" s="13" t="n">
        <x:v>22330350.848</x:v>
      </x:c>
      <x:c r="I147" s="13" t="n">
        <x:v>114401447.1902</x:v>
      </x:c>
      <x:c r="J147" s="13" t="n">
        <x:v>131200913.635</x:v>
      </x:c>
    </x:row>
    <x:row r="148" ht="19" customHeight="1">
      <x:c r="A148" s="1" t="str">
        <x:v>foundry-field</x:v>
      </x:c>
      <x:c r="B148" s="1" t="str">
        <x:v>expansion</x:v>
      </x:c>
      <x:c r="C148" s="12" t="n">
        <x:v>2030</x:v>
      </x:c>
      <x:c r="D148" s="13" t="n">
        <x:v>91014989.9773</x:v>
      </x:c>
      <x:c r="E148" s="13" t="n">
        <x:v>28332351.2095</x:v>
      </x:c>
      <x:c r="F148" s="13" t="n">
        <x:v>62682638.7678</x:v>
      </x:c>
      <x:c r="G148" s="13" t="n">
        <x:v>207026957.7195</x:v>
      </x:c>
      <x:c r="H148" s="13" t="n">
        <x:v>29942871.7615</x:v>
      </x:c>
      <x:c r="I148" s="13" t="n">
        <x:v>177084085.958</x:v>
      </x:c>
      <x:c r="J148" s="13" t="n">
        <x:v>200102117.3002</x:v>
      </x:c>
    </x:row>
    <x:row r="149" ht="19" customHeight="1">
      <x:c r="A149" s="1" t="str">
        <x:v>foundry-field</x:v>
      </x:c>
      <x:c r="B149" s="1" t="str">
        <x:v>expansion</x:v>
      </x:c>
      <x:c r="C149" s="12" t="n">
        <x:v>2031</x:v>
      </x:c>
      <x:c r="D149" s="13" t="n">
        <x:v>100114341.5712</x:v>
      </x:c>
      <x:c r="E149" s="13" t="n">
        <x:v>29234264.7398</x:v>
      </x:c>
      <x:c r="F149" s="13" t="n">
        <x:v>70880076.8314</x:v>
      </x:c>
      <x:c r="G149" s="13" t="n">
        <x:v>277683926.3809</x:v>
      </x:c>
      <x:c r="H149" s="13" t="n">
        <x:v>29719763.5915</x:v>
      </x:c>
      <x:c r="I149" s="13" t="n">
        <x:v>247964162.7894</x:v>
      </x:c>
      <x:c r="J149" s="13" t="n">
        <x:v>270652718.905</x:v>
      </x:c>
    </x:row>
    <x:row r="150" ht="19" customHeight="1">
      <x:c r="A150" s="1" t="str">
        <x:v>pale-sun</x:v>
      </x:c>
      <x:c r="B150" s="1" t="str">
        <x:v>expansion</x:v>
      </x:c>
      <x:c r="C150" s="12" t="n">
        <x:v>2026</x:v>
      </x:c>
      <x:c r="D150" s="13" t="n">
        <x:v>37975000</x:v>
      </x:c>
      <x:c r="E150" s="13" t="n">
        <x:v>37376659</x:v>
      </x:c>
      <x:c r="F150" s="13" t="n">
        <x:v>598341</x:v>
      </x:c>
      <x:c r="G150" s="13" t="n">
        <x:v>130839999</x:v>
      </x:c>
      <x:c r="H150" s="13" t="n">
        <x:v>22831108</x:v>
      </x:c>
      <x:c r="I150" s="13" t="n">
        <x:v>108008891</x:v>
      </x:c>
      <x:c r="J150" s="13" t="n">
        <x:v>2000000</x:v>
      </x:c>
    </x:row>
    <x:row r="151" ht="19" customHeight="1">
      <x:c r="A151" s="1" t="str">
        <x:v>pale-sun</x:v>
      </x:c>
      <x:c r="B151" s="1" t="str">
        <x:v>expansion</x:v>
      </x:c>
      <x:c r="C151" s="12" t="n">
        <x:v>2027</x:v>
      </x:c>
      <x:c r="D151" s="13" t="n">
        <x:v>43958127.8571</x:v>
      </x:c>
      <x:c r="E151" s="13" t="n">
        <x:v>43771415.8567</x:v>
      </x:c>
      <x:c r="F151" s="13" t="n">
        <x:v>186712.0004</x:v>
      </x:c>
      <x:c r="G151" s="13" t="n">
        <x:v>141393407</x:v>
      </x:c>
      <x:c r="H151" s="13" t="n">
        <x:v>21064697.9996</x:v>
      </x:c>
      <x:c r="I151" s="13" t="n">
        <x:v>120328709.0004</x:v>
      </x:c>
      <x:c r="J151" s="13" t="n">
        <x:v>2000000</x:v>
      </x:c>
    </x:row>
    <x:row r="152" ht="19" customHeight="1">
      <x:c r="A152" s="1" t="str">
        <x:v>pale-sun</x:v>
      </x:c>
      <x:c r="B152" s="1" t="str">
        <x:v>expansion</x:v>
      </x:c>
      <x:c r="C152" s="12" t="n">
        <x:v>2028</x:v>
      </x:c>
      <x:c r="D152" s="13" t="n">
        <x:v>48313647.8571</x:v>
      </x:c>
      <x:c r="E152" s="13" t="n">
        <x:v>48077868.8567</x:v>
      </x:c>
      <x:c r="F152" s="13" t="n">
        <x:v>235779.0004</x:v>
      </x:c>
      <x:c r="G152" s="13" t="n">
        <x:v>158105416</x:v>
      </x:c>
      <x:c r="H152" s="13" t="n">
        <x:v>22405397.9992</x:v>
      </x:c>
      <x:c r="I152" s="13" t="n">
        <x:v>135700018.0008</x:v>
      </x:c>
      <x:c r="J152" s="13" t="n">
        <x:v>2406314</x:v>
      </x:c>
    </x:row>
    <x:row r="153" ht="19" customHeight="1">
      <x:c r="A153" s="1" t="str">
        <x:v>pale-sun</x:v>
      </x:c>
      <x:c r="B153" s="1" t="str">
        <x:v>expansion</x:v>
      </x:c>
      <x:c r="C153" s="12" t="n">
        <x:v>2029</x:v>
      </x:c>
      <x:c r="D153" s="13" t="n">
        <x:v>53108382.8571</x:v>
      </x:c>
      <x:c r="E153" s="13" t="n">
        <x:v>52393739.8567</x:v>
      </x:c>
      <x:c r="F153" s="13" t="n">
        <x:v>714643.0004</x:v>
      </x:c>
      <x:c r="G153" s="13" t="n">
        <x:v>162490765</x:v>
      </x:c>
      <x:c r="H153" s="13" t="n">
        <x:v>23798769.9988</x:v>
      </x:c>
      <x:c r="I153" s="13" t="n">
        <x:v>138691995.0012</x:v>
      </x:c>
      <x:c r="J153" s="13" t="n">
        <x:v>4300779</x:v>
      </x:c>
    </x:row>
    <x:row r="154" ht="19" customHeight="1">
      <x:c r="A154" s="1" t="str">
        <x:v>pale-sun</x:v>
      </x:c>
      <x:c r="B154" s="1" t="str">
        <x:v>expansion</x:v>
      </x:c>
      <x:c r="C154" s="12" t="n">
        <x:v>2030</x:v>
      </x:c>
      <x:c r="D154" s="13" t="n">
        <x:v>58386845</x:v>
      </x:c>
      <x:c r="E154" s="13" t="n">
        <x:v>57120744.7996</x:v>
      </x:c>
      <x:c r="F154" s="13" t="n">
        <x:v>1266100.2004</x:v>
      </x:c>
      <x:c r="G154" s="13" t="n">
        <x:v>159420140</x:v>
      </x:c>
      <x:c r="H154" s="13" t="n">
        <x:v>19462044.7984</x:v>
      </x:c>
      <x:c r="I154" s="13" t="n">
        <x:v>139958095.2016</x:v>
      </x:c>
      <x:c r="J154" s="13" t="n">
        <x:v>2694929</x:v>
      </x:c>
    </x:row>
    <x:row r="155" ht="19" customHeight="1">
      <x:c r="A155" s="1" t="str">
        <x:v>pale-sun</x:v>
      </x:c>
      <x:c r="B155" s="1" t="str">
        <x:v>expansion</x:v>
      </x:c>
      <x:c r="C155" s="12" t="n">
        <x:v>2031</x:v>
      </x:c>
      <x:c r="D155" s="13" t="n">
        <x:v>64198077.2857</x:v>
      </x:c>
      <x:c r="E155" s="13" t="n">
        <x:v>62524417.8093</x:v>
      </x:c>
      <x:c r="F155" s="13" t="n">
        <x:v>1673659.4764</x:v>
      </x:c>
      <x:c r="G155" s="13" t="n">
        <x:v>162208297</x:v>
      </x:c>
      <x:c r="H155" s="13" t="n">
        <x:v>20576542.322</x:v>
      </x:c>
      <x:c r="I155" s="13" t="n">
        <x:v>141631754.678</x:v>
      </x:c>
      <x:c r="J155" s="13" t="n">
        <x:v>10631929</x:v>
      </x:c>
    </x:row>
    <x:row r="156" ht="19" customHeight="1">
      <x:c r="A156" s="1" t="str">
        <x:v>project-cradle</x:v>
      </x:c>
      <x:c r="B156" s="1" t="str">
        <x:v>expansion</x:v>
      </x:c>
      <x:c r="C156" s="12" t="n">
        <x:v>2026</x:v>
      </x:c>
      <x:c r="D156" s="13" t="n">
        <x:v>229979.5</x:v>
      </x:c>
      <x:c r="E156" s="13" t="n">
        <x:v>294507.9</x:v>
      </x:c>
      <x:c r="F156" s="13" t="n">
        <x:v>-64528.4</x:v>
      </x:c>
      <x:c r="G156" s="13" t="n">
        <x:v>229979.5</x:v>
      </x:c>
      <x:c r="H156" s="13" t="n">
        <x:v>294507.9</x:v>
      </x:c>
      <x:c r="I156" s="13" t="n">
        <x:v>-64528.4</x:v>
      </x:c>
      <x:c r="J156" s="13" t="n">
        <x:v>0</x:v>
      </x:c>
    </x:row>
    <x:row r="157" ht="19" customHeight="1">
      <x:c r="A157" s="1" t="str">
        <x:v>project-cradle</x:v>
      </x:c>
      <x:c r="B157" s="1" t="str">
        <x:v>expansion</x:v>
      </x:c>
      <x:c r="C157" s="12" t="n">
        <x:v>2027</x:v>
      </x:c>
      <x:c r="D157" s="13" t="n">
        <x:v>1143068.6592</x:v>
      </x:c>
      <x:c r="E157" s="13" t="n">
        <x:v>3098379.8294</x:v>
      </x:c>
      <x:c r="F157" s="13" t="n">
        <x:v>-1955311.1702</x:v>
      </x:c>
      <x:c r="G157" s="13" t="n">
        <x:v>-1646912.6334</x:v>
      </x:c>
      <x:c r="H157" s="13" t="n">
        <x:v>372926.9368</x:v>
      </x:c>
      <x:c r="I157" s="13" t="n">
        <x:v>-2019839.5702</x:v>
      </x:c>
      <x:c r="J157" s="13" t="n">
        <x:v>-3093137.7079</x:v>
      </x:c>
    </x:row>
    <x:row r="158" ht="19" customHeight="1">
      <x:c r="A158" s="1" t="str">
        <x:v>project-cradle</x:v>
      </x:c>
      <x:c r="B158" s="1" t="str">
        <x:v>expansion</x:v>
      </x:c>
      <x:c r="C158" s="12" t="n">
        <x:v>2028</x:v>
      </x:c>
      <x:c r="D158" s="13" t="n">
        <x:v>1373389.056</x:v>
      </x:c>
      <x:c r="E158" s="13" t="n">
        <x:v>3404477.5383</x:v>
      </x:c>
      <x:c r="F158" s="13" t="n">
        <x:v>-2031088.4823</x:v>
      </x:c>
      <x:c r="G158" s="13" t="n">
        <x:v>-3678001.1157</x:v>
      </x:c>
      <x:c r="H158" s="13" t="n">
        <x:v>372926.9368</x:v>
      </x:c>
      <x:c r="I158" s="13" t="n">
        <x:v>-4050928.0525</x:v>
      </x:c>
      <x:c r="J158" s="13" t="n">
        <x:v>-4917120.1099</x:v>
      </x:c>
    </x:row>
    <x:row r="159" ht="19" customHeight="1">
      <x:c r="A159" s="1" t="str">
        <x:v>project-cradle</x:v>
      </x:c>
      <x:c r="B159" s="1" t="str">
        <x:v>expansion</x:v>
      </x:c>
      <x:c r="C159" s="12" t="n">
        <x:v>2029</x:v>
      </x:c>
      <x:c r="D159" s="13" t="n">
        <x:v>1261416.4992</x:v>
      </x:c>
      <x:c r="E159" s="13" t="n">
        <x:v>3468068.1382</x:v>
      </x:c>
      <x:c r="F159" s="13" t="n">
        <x:v>-2206651.639</x:v>
      </x:c>
      <x:c r="G159" s="13" t="n">
        <x:v>-5884652.7547</x:v>
      </x:c>
      <x:c r="H159" s="13" t="n">
        <x:v>372926.9368</x:v>
      </x:c>
      <x:c r="I159" s="13" t="n">
        <x:v>-6257579.6915</x:v>
      </x:c>
      <x:c r="J159" s="13" t="n">
        <x:v>-6919344.1807</x:v>
      </x:c>
    </x:row>
    <x:row r="160" ht="19" customHeight="1">
      <x:c r="A160" s="1" t="str">
        <x:v>project-cradle</x:v>
      </x:c>
      <x:c r="B160" s="1" t="str">
        <x:v>expansion</x:v>
      </x:c>
      <x:c r="C160" s="12" t="n">
        <x:v>2030</x:v>
      </x:c>
      <x:c r="D160" s="13" t="n">
        <x:v>1261416.4992</x:v>
      </x:c>
      <x:c r="E160" s="13" t="n">
        <x:v>3532192.0103</x:v>
      </x:c>
      <x:c r="F160" s="13" t="n">
        <x:v>-2270775.5111</x:v>
      </x:c>
      <x:c r="G160" s="13" t="n">
        <x:v>-8155428.2658</x:v>
      </x:c>
      <x:c r="H160" s="13" t="n">
        <x:v>372926.9368</x:v>
      </x:c>
      <x:c r="I160" s="13" t="n">
        <x:v>-8528355.2026</x:v>
      </x:c>
      <x:c r="J160" s="13" t="n">
        <x:v>-8984400.1063</x:v>
      </x:c>
    </x:row>
    <x:row r="161" ht="19" customHeight="1">
      <x:c r="A161" s="1" t="str">
        <x:v>project-cradle</x:v>
      </x:c>
      <x:c r="B161" s="1" t="str">
        <x:v>expansion</x:v>
      </x:c>
      <x:c r="C161" s="12" t="n">
        <x:v>2031</x:v>
      </x:c>
      <x:c r="D161" s="13" t="n">
        <x:v>1374739.8912</x:v>
      </x:c>
      <x:c r="E161" s="13" t="n">
        <x:v>3654745.8897</x:v>
      </x:c>
      <x:c r="F161" s="13" t="n">
        <x:v>-2280005.9985</x:v>
      </x:c>
      <x:c r="G161" s="13" t="n">
        <x:v>-10435434.2643</x:v>
      </x:c>
      <x:c r="H161" s="13" t="n">
        <x:v>372926.9368</x:v>
      </x:c>
      <x:c r="I161" s="13" t="n">
        <x:v>-10808361.2011</x:v>
      </x:c>
      <x:c r="J161" s="13" t="n">
        <x:v>-11058719.2747</x:v>
      </x:c>
    </x:row>
    <x:row r="162" ht="19" customHeight="1">
      <x:c r="A162" s="1" t="str">
        <x:v>willow</x:v>
      </x:c>
      <x:c r="B162" s="1" t="str">
        <x:v>expansion</x:v>
      </x:c>
      <x:c r="C162" s="12" t="n">
        <x:v>2026</x:v>
      </x:c>
      <x:c r="D162" s="13" t="n">
        <x:v>0</x:v>
      </x:c>
      <x:c r="E162" s="13" t="n">
        <x:v>248512</x:v>
      </x:c>
      <x:c r="F162" s="13" t="n">
        <x:v>-248512</x:v>
      </x:c>
      <x:c r="G162" s="13" t="n">
        <x:v>0</x:v>
      </x:c>
      <x:c r="H162" s="13" t="n">
        <x:v>248512</x:v>
      </x:c>
      <x:c r="I162" s="13" t="n">
        <x:v>-248512</x:v>
      </x:c>
      <x:c r="J162" s="13" t="n">
        <x:v>0</x:v>
      </x:c>
    </x:row>
    <x:row r="163" ht="19" customHeight="1">
      <x:c r="A163" s="1" t="str">
        <x:v>willow</x:v>
      </x:c>
      <x:c r="B163" s="1" t="str">
        <x:v>expansion</x:v>
      </x:c>
      <x:c r="C163" s="12" t="n">
        <x:v>2027</x:v>
      </x:c>
      <x:c r="D163" s="13" t="n">
        <x:v>0</x:v>
      </x:c>
      <x:c r="E163" s="13" t="n">
        <x:v>4104880</x:v>
      </x:c>
      <x:c r="F163" s="13" t="n">
        <x:v>-4104880</x:v>
      </x:c>
      <x:c r="G163" s="13" t="n">
        <x:v>-4104880</x:v>
      </x:c>
      <x:c r="H163" s="13" t="n">
        <x:v>248512</x:v>
      </x:c>
      <x:c r="I163" s="13" t="n">
        <x:v>-4353392</x:v>
      </x:c>
      <x:c r="J163" s="13" t="n">
        <x:v>-4477200</x:v>
      </x:c>
    </x:row>
    <x:row r="164" ht="19" customHeight="1">
      <x:c r="A164" s="1" t="str">
        <x:v>willow</x:v>
      </x:c>
      <x:c r="B164" s="1" t="str">
        <x:v>expansion</x:v>
      </x:c>
      <x:c r="C164" s="12" t="n">
        <x:v>2028</x:v>
      </x:c>
      <x:c r="D164" s="13" t="n">
        <x:v>0</x:v>
      </x:c>
      <x:c r="E164" s="13" t="n">
        <x:v>3933592</x:v>
      </x:c>
      <x:c r="F164" s="13" t="n">
        <x:v>-3933592</x:v>
      </x:c>
      <x:c r="G164" s="13" t="n">
        <x:v>-8031192</x:v>
      </x:c>
      <x:c r="H164" s="13" t="n">
        <x:v>255792</x:v>
      </x:c>
      <x:c r="I164" s="13" t="n">
        <x:v>-8286984</x:v>
      </x:c>
      <x:c r="J164" s="13" t="n">
        <x:v>-8366072</x:v>
      </x:c>
    </x:row>
    <x:row r="165" ht="19" customHeight="1">
      <x:c r="A165" s="1" t="str">
        <x:v>willow</x:v>
      </x:c>
      <x:c r="B165" s="1" t="str">
        <x:v>expansion</x:v>
      </x:c>
      <x:c r="C165" s="12" t="n">
        <x:v>2029</x:v>
      </x:c>
      <x:c r="D165" s="13" t="n">
        <x:v>0</x:v>
      </x:c>
      <x:c r="E165" s="13" t="n">
        <x:v>4012069.36</x:v>
      </x:c>
      <x:c r="F165" s="13" t="n">
        <x:v>-4012069.36</x:v>
      </x:c>
      <x:c r="G165" s="13" t="n">
        <x:v>-12050541.36</x:v>
      </x:c>
      <x:c r="H165" s="13" t="n">
        <x:v>248512</x:v>
      </x:c>
      <x:c r="I165" s="13" t="n">
        <x:v>-12299053.36</x:v>
      </x:c>
      <x:c r="J165" s="13" t="n">
        <x:v>-12347981.36</x:v>
      </x:c>
    </x:row>
    <x:row r="166" ht="19" customHeight="1">
      <x:c r="A166" s="1" t="str">
        <x:v>willow</x:v>
      </x:c>
      <x:c r="B166" s="1" t="str">
        <x:v>expansion</x:v>
      </x:c>
      <x:c r="C166" s="12" t="n">
        <x:v>2030</x:v>
      </x:c>
      <x:c r="D166" s="13" t="n">
        <x:v>0</x:v>
      </x:c>
      <x:c r="E166" s="13" t="n">
        <x:v>4082490.6408</x:v>
      </x:c>
      <x:c r="F166" s="13" t="n">
        <x:v>-4082490.6408</x:v>
      </x:c>
      <x:c r="G166" s="13" t="n">
        <x:v>-16133032.0008</x:v>
      </x:c>
      <x:c r="H166" s="13" t="n">
        <x:v>248512</x:v>
      </x:c>
      <x:c r="I166" s="13" t="n">
        <x:v>-16381544.0008</x:v>
      </x:c>
      <x:c r="J166" s="13" t="n">
        <x:v>-16393032.0008</x:v>
      </x:c>
    </x:row>
    <x:row r="167" ht="19" customHeight="1">
      <x:c r="A167" s="1" t="str">
        <x:v>willow</x:v>
      </x:c>
      <x:c r="B167" s="1" t="str">
        <x:v>expansion</x:v>
      </x:c>
      <x:c r="C167" s="12" t="n">
        <x:v>2031</x:v>
      </x:c>
      <x:c r="D167" s="13" t="n">
        <x:v>0</x:v>
      </x:c>
      <x:c r="E167" s="13" t="n">
        <x:v>4240637.3516</x:v>
      </x:c>
      <x:c r="F167" s="13" t="n">
        <x:v>-4240637.3516</x:v>
      </x:c>
      <x:c r="G167" s="13" t="n">
        <x:v>-20373669.3524</x:v>
      </x:c>
      <x:c r="H167" s="13" t="n">
        <x:v>248512</x:v>
      </x:c>
      <x:c r="I167" s="13" t="n">
        <x:v>-20622181.3524</x:v>
      </x:c>
      <x:c r="J167" s="13" t="n">
        <x:v>-20596229.3524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9" hidden="0" customWidth="1"/>
    <x:col min="4" max="4" width="30" hidden="0" customWidth="1"/>
    <x:col min="5" max="5" width="2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</x:cols>
  <x:sheetData>
    <x:row r="1" ht="19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3" t="str">
        <x:v>Forecast review (USD)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19" customHeight="1">
      <x:c r="A3" s="5" t="str">
        <x:v>Source: versioned synthetic operating records. Full populations are in the accompanying CSV and SQLite files.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9" customHeight="1">
      <x:c r="A4" s="6" t="str">
        <x:v>Content: edd301ad6c9d319532dfd9ae79ecdbfd5456fa73aeec8e61da1ca6f9279317ac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11" t="str">
        <x:v>Scenario</x:v>
      </x:c>
      <x:c r="B5" s="11" t="str">
        <x:v>Business</x:v>
      </x:c>
      <x:c r="C5" s="11" t="str">
        <x:v>Year</x:v>
      </x:c>
      <x:c r="D5" s="11" t="str">
        <x:v>Revision</x:v>
      </x:c>
      <x:c r="E5" s="11" t="str">
        <x:v>Measure</x:v>
      </x:c>
      <x:c r="F5" s="11" t="str">
        <x:v>Prior forecast</x:v>
      </x:c>
      <x:c r="G5" s="11" t="str">
        <x:v>Revised forecast</x:v>
      </x:c>
      <x:c r="H5" s="11" t="str">
        <x:v>Price</x:v>
      </x:c>
      <x:c r="I5" s="11" t="str">
        <x:v>Volume</x:v>
      </x:c>
      <x:c r="J5" s="11" t="str">
        <x:v>Timing</x:v>
      </x:c>
      <x:c r="K5" s="11" t="str">
        <x:v>Workforce</x:v>
      </x:c>
      <x:c r="L5" s="11" t="str">
        <x:v>Difference</x:v>
      </x:c>
    </x:row>
    <x:row r="6" ht="19" customHeight="1">
      <x:c r="A6" s="1" t="str">
        <x:v>base</x:v>
      </x:c>
      <x:c r="B6" s="1" t="str">
        <x:v>advisory</x:v>
      </x:c>
      <x:c r="C6" s="12" t="n">
        <x:v>2027</x:v>
      </x:c>
      <x:c r="D6" s="1" t="str">
        <x:v>revised</x:v>
      </x:c>
      <x:c r="E6" s="1" t="str">
        <x:v>net_income_usd</x:v>
      </x:c>
      <x:c r="F6" s="13" t="n">
        <x:v>4773367.1872</x:v>
      </x:c>
      <x:c r="G6" s="13" t="n">
        <x:v>5143509.7072</x:v>
      </x:c>
      <x:c r="H6" s="13" t="n">
        <x:v>0</x:v>
      </x:c>
      <x:c r="I6" s="13" t="n">
        <x:v>370142.52</x:v>
      </x:c>
      <x:c r="J6" s="13" t="n">
        <x:v>0</x:v>
      </x:c>
      <x:c r="K6" s="13" t="n">
        <x:v>0</x:v>
      </x:c>
      <x:c r="L6" s="14" t="n">
        <x:f>G6-F6-SUM(H6:K6)</x:f>
        <x:v>4.656612873077393e-10</x:v>
      </x:c>
    </x:row>
    <x:row r="7" ht="19" customHeight="1">
      <x:c r="A7" s="1" t="str">
        <x:v>base</x:v>
      </x:c>
      <x:c r="B7" s="1" t="str">
        <x:v>advisory</x:v>
      </x:c>
      <x:c r="C7" s="12" t="n">
        <x:v>2027</x:v>
      </x:c>
      <x:c r="D7" s="1" t="str">
        <x:v>revised</x:v>
      </x:c>
      <x:c r="E7" s="1" t="str">
        <x:v>revenue_usd</x:v>
      </x:c>
      <x:c r="F7" s="13" t="n">
        <x:v>10030080</x:v>
      </x:c>
      <x:c r="G7" s="13" t="n">
        <x:v>10410384</x:v>
      </x:c>
      <x:c r="H7" s="13" t="n">
        <x:v>0</x:v>
      </x:c>
      <x:c r="I7" s="13" t="n">
        <x:v>380304</x:v>
      </x:c>
      <x:c r="J7" s="13" t="n">
        <x:v>0</x:v>
      </x:c>
      <x:c r="K7" s="13" t="n">
        <x:v>0</x:v>
      </x:c>
      <x:c r="L7" s="14" t="n">
        <x:f>G7-F7-SUM(H7:K7)</x:f>
        <x:v>0</x:v>
      </x:c>
    </x:row>
    <x:row r="8" ht="19" customHeight="1">
      <x:c r="A8" s="1" t="str">
        <x:v>base</x:v>
      </x:c>
      <x:c r="B8" s="1" t="str">
        <x:v>advisory</x:v>
      </x:c>
      <x:c r="C8" s="12" t="n">
        <x:v>2027</x:v>
      </x:c>
      <x:c r="D8" s="1" t="str">
        <x:v>synthetic_outturn</x:v>
      </x:c>
      <x:c r="E8" s="1" t="str">
        <x:v>net_income_usd</x:v>
      </x:c>
      <x:c r="F8" s="13" t="n">
        <x:v>5143509.7072</x:v>
      </x:c>
      <x:c r="G8" s="13" t="n">
        <x:v>5143509.7072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4" t="n">
        <x:f>G8-F8-SUM(H8:K8)</x:f>
        <x:v>0</x:v>
      </x:c>
    </x:row>
    <x:row r="9" ht="19" customHeight="1">
      <x:c r="A9" s="1" t="str">
        <x:v>base</x:v>
      </x:c>
      <x:c r="B9" s="1" t="str">
        <x:v>advisory</x:v>
      </x:c>
      <x:c r="C9" s="12" t="n">
        <x:v>2027</x:v>
      </x:c>
      <x:c r="D9" s="1" t="str">
        <x:v>synthetic_outturn</x:v>
      </x:c>
      <x:c r="E9" s="1" t="str">
        <x:v>revenue_usd</x:v>
      </x:c>
      <x:c r="F9" s="13" t="n">
        <x:v>10410384</x:v>
      </x:c>
      <x:c r="G9" s="13" t="n">
        <x:v>10410384</x:v>
      </x:c>
      <x:c r="H9" s="13" t="n">
        <x:v>0</x:v>
      </x:c>
      <x:c r="I9" s="13" t="n">
        <x:v>0</x:v>
      </x:c>
      <x:c r="J9" s="13" t="n">
        <x:v>0</x:v>
      </x:c>
      <x:c r="K9" s="13" t="n">
        <x:v>0</x:v>
      </x:c>
      <x:c r="L9" s="14" t="n">
        <x:f>G9-F9-SUM(H9:K9)</x:f>
        <x:v>0</x:v>
      </x:c>
    </x:row>
    <x:row r="10" ht="19" customHeight="1">
      <x:c r="A10" s="1" t="str">
        <x:v>base</x:v>
      </x:c>
      <x:c r="B10" s="1" t="str">
        <x:v>advisory</x:v>
      </x:c>
      <x:c r="C10" s="12" t="n">
        <x:v>2028</x:v>
      </x:c>
      <x:c r="D10" s="1" t="str">
        <x:v>revised</x:v>
      </x:c>
      <x:c r="E10" s="1" t="str">
        <x:v>net_income_usd</x:v>
      </x:c>
      <x:c r="F10" s="13" t="n">
        <x:v>7420663.9872</x:v>
      </x:c>
      <x:c r="G10" s="13" t="n">
        <x:v>8682880.3872</x:v>
      </x:c>
      <x:c r="H10" s="13" t="n">
        <x:v>0</x:v>
      </x:c>
      <x:c r="I10" s="13" t="n">
        <x:v>1262216.4</x:v>
      </x:c>
      <x:c r="J10" s="13" t="n">
        <x:v>0</x:v>
      </x:c>
      <x:c r="K10" s="13" t="n">
        <x:v>0</x:v>
      </x:c>
      <x:c r="L10" s="14" t="n">
        <x:f>G10-F10-SUM(H10:K10)</x:f>
        <x:v>-4.656612873077393e-10</x:v>
      </x:c>
    </x:row>
    <x:row r="11" ht="19" customHeight="1">
      <x:c r="A11" s="1" t="str">
        <x:v>base</x:v>
      </x:c>
      <x:c r="B11" s="1" t="str">
        <x:v>advisory</x:v>
      </x:c>
      <x:c r="C11" s="12" t="n">
        <x:v>2028</x:v>
      </x:c>
      <x:c r="D11" s="1" t="str">
        <x:v>revised</x:v>
      </x:c>
      <x:c r="E11" s="1" t="str">
        <x:v>revenue_usd</x:v>
      </x:c>
      <x:c r="F11" s="13" t="n">
        <x:v>12874080</x:v>
      </x:c>
      <x:c r="G11" s="13" t="n">
        <x:v>14161488</x:v>
      </x:c>
      <x:c r="H11" s="13" t="n">
        <x:v>0</x:v>
      </x:c>
      <x:c r="I11" s="13" t="n">
        <x:v>1287408</x:v>
      </x:c>
      <x:c r="J11" s="13" t="n">
        <x:v>0</x:v>
      </x:c>
      <x:c r="K11" s="13" t="n">
        <x:v>0</x:v>
      </x:c>
      <x:c r="L11" s="14" t="n">
        <x:f>G11-F11-SUM(H11:K11)</x:f>
        <x:v>0</x:v>
      </x:c>
    </x:row>
    <x:row r="12" ht="19" customHeight="1">
      <x:c r="A12" s="1" t="str">
        <x:v>base</x:v>
      </x:c>
      <x:c r="B12" s="1" t="str">
        <x:v>advisory</x:v>
      </x:c>
      <x:c r="C12" s="12" t="n">
        <x:v>2028</x:v>
      </x:c>
      <x:c r="D12" s="1" t="str">
        <x:v>synthetic_outturn</x:v>
      </x:c>
      <x:c r="E12" s="1" t="str">
        <x:v>net_income_usd</x:v>
      </x:c>
      <x:c r="F12" s="13" t="n">
        <x:v>8682880.3872</x:v>
      </x:c>
      <x:c r="G12" s="13" t="n">
        <x:v>8682880.3872</x:v>
      </x:c>
      <x:c r="H12" s="13" t="n">
        <x:v>0</x:v>
      </x:c>
      <x:c r="I12" s="13" t="n">
        <x:v>0</x:v>
      </x:c>
      <x:c r="J12" s="13" t="n">
        <x:v>0</x:v>
      </x:c>
      <x:c r="K12" s="13" t="n">
        <x:v>0</x:v>
      </x:c>
      <x:c r="L12" s="14" t="n">
        <x:f>G12-F12-SUM(H12:K12)</x:f>
        <x:v>0</x:v>
      </x:c>
    </x:row>
    <x:row r="13" ht="19" customHeight="1">
      <x:c r="A13" s="1" t="str">
        <x:v>base</x:v>
      </x:c>
      <x:c r="B13" s="1" t="str">
        <x:v>advisory</x:v>
      </x:c>
      <x:c r="C13" s="12" t="n">
        <x:v>2028</x:v>
      </x:c>
      <x:c r="D13" s="1" t="str">
        <x:v>synthetic_outturn</x:v>
      </x:c>
      <x:c r="E13" s="1" t="str">
        <x:v>revenue_usd</x:v>
      </x:c>
      <x:c r="F13" s="13" t="n">
        <x:v>14161488</x:v>
      </x:c>
      <x:c r="G13" s="13" t="n">
        <x:v>14161488</x:v>
      </x:c>
      <x:c r="H13" s="13" t="n">
        <x:v>0</x:v>
      </x:c>
      <x:c r="I13" s="13" t="n">
        <x:v>0</x:v>
      </x:c>
      <x:c r="J13" s="13" t="n">
        <x:v>0</x:v>
      </x:c>
      <x:c r="K13" s="13" t="n">
        <x:v>0</x:v>
      </x:c>
      <x:c r="L13" s="14" t="n">
        <x:f>G13-F13-SUM(H13:K13)</x:f>
        <x:v>0</x:v>
      </x:c>
    </x:row>
    <x:row r="14" ht="19" customHeight="1">
      <x:c r="A14" s="1" t="str">
        <x:v>base</x:v>
      </x:c>
      <x:c r="B14" s="1" t="str">
        <x:v>advisory</x:v>
      </x:c>
      <x:c r="C14" s="12" t="n">
        <x:v>2029</x:v>
      </x:c>
      <x:c r="D14" s="1" t="str">
        <x:v>revised</x:v>
      </x:c>
      <x:c r="E14" s="1" t="str">
        <x:v>net_income_usd</x:v>
      </x:c>
      <x:c r="F14" s="13" t="n">
        <x:v>7264618.9872</x:v>
      </x:c>
      <x:c r="G14" s="13" t="n">
        <x:v>8526835.3872</x:v>
      </x:c>
      <x:c r="H14" s="13" t="n">
        <x:v>0</x:v>
      </x:c>
      <x:c r="I14" s="13" t="n">
        <x:v>1262216.4</x:v>
      </x:c>
      <x:c r="J14" s="13" t="n">
        <x:v>0</x:v>
      </x:c>
      <x:c r="K14" s="13" t="n">
        <x:v>0</x:v>
      </x:c>
      <x:c r="L14" s="14" t="n">
        <x:f>G14-F14-SUM(H14:K14)</x:f>
        <x:v>-4.656612873077393e-10</x:v>
      </x:c>
    </x:row>
    <x:row r="15" ht="19" customHeight="1">
      <x:c r="A15" s="1" t="str">
        <x:v>base</x:v>
      </x:c>
      <x:c r="B15" s="1" t="str">
        <x:v>advisory</x:v>
      </x:c>
      <x:c r="C15" s="12" t="n">
        <x:v>2029</x:v>
      </x:c>
      <x:c r="D15" s="1" t="str">
        <x:v>revised</x:v>
      </x:c>
      <x:c r="E15" s="1" t="str">
        <x:v>revenue_usd</x:v>
      </x:c>
      <x:c r="F15" s="13" t="n">
        <x:v>12874080</x:v>
      </x:c>
      <x:c r="G15" s="13" t="n">
        <x:v>14161488</x:v>
      </x:c>
      <x:c r="H15" s="13" t="n">
        <x:v>0</x:v>
      </x:c>
      <x:c r="I15" s="13" t="n">
        <x:v>1287408</x:v>
      </x:c>
      <x:c r="J15" s="13" t="n">
        <x:v>0</x:v>
      </x:c>
      <x:c r="K15" s="13" t="n">
        <x:v>0</x:v>
      </x:c>
      <x:c r="L15" s="14" t="n">
        <x:f>G15-F15-SUM(H15:K15)</x:f>
        <x:v>0</x:v>
      </x:c>
    </x:row>
    <x:row r="16" ht="19" customHeight="1">
      <x:c r="A16" s="1" t="str">
        <x:v>base</x:v>
      </x:c>
      <x:c r="B16" s="1" t="str">
        <x:v>advisory</x:v>
      </x:c>
      <x:c r="C16" s="12" t="n">
        <x:v>2029</x:v>
      </x:c>
      <x:c r="D16" s="1" t="str">
        <x:v>synthetic_outturn</x:v>
      </x:c>
      <x:c r="E16" s="1" t="str">
        <x:v>net_income_usd</x:v>
      </x:c>
      <x:c r="F16" s="13" t="n">
        <x:v>8526835.3872</x:v>
      </x:c>
      <x:c r="G16" s="13" t="n">
        <x:v>8526835.3872</x:v>
      </x:c>
      <x:c r="H16" s="13" t="n">
        <x:v>0</x:v>
      </x:c>
      <x:c r="I16" s="13" t="n">
        <x:v>0</x:v>
      </x:c>
      <x:c r="J16" s="13" t="n">
        <x:v>0</x:v>
      </x:c>
      <x:c r="K16" s="13" t="n">
        <x:v>0</x:v>
      </x:c>
      <x:c r="L16" s="14" t="n">
        <x:f>G16-F16-SUM(H16:K16)</x:f>
        <x:v>0</x:v>
      </x:c>
    </x:row>
    <x:row r="17" ht="19" customHeight="1">
      <x:c r="A17" s="1" t="str">
        <x:v>base</x:v>
      </x:c>
      <x:c r="B17" s="1" t="str">
        <x:v>advisory</x:v>
      </x:c>
      <x:c r="C17" s="12" t="n">
        <x:v>2029</x:v>
      </x:c>
      <x:c r="D17" s="1" t="str">
        <x:v>synthetic_outturn</x:v>
      </x:c>
      <x:c r="E17" s="1" t="str">
        <x:v>revenue_usd</x:v>
      </x:c>
      <x:c r="F17" s="13" t="n">
        <x:v>14161488</x:v>
      </x:c>
      <x:c r="G17" s="13" t="n">
        <x:v>14161488</x:v>
      </x:c>
      <x:c r="H17" s="13" t="n">
        <x:v>0</x:v>
      </x:c>
      <x:c r="I17" s="13" t="n">
        <x:v>0</x:v>
      </x:c>
      <x:c r="J17" s="13" t="n">
        <x:v>0</x:v>
      </x:c>
      <x:c r="K17" s="13" t="n">
        <x:v>0</x:v>
      </x:c>
      <x:c r="L17" s="14" t="n">
        <x:f>G17-F17-SUM(H17:K17)</x:f>
        <x:v>0</x:v>
      </x:c>
    </x:row>
    <x:row r="18" ht="19" customHeight="1">
      <x:c r="A18" s="1" t="str">
        <x:v>base</x:v>
      </x:c>
      <x:c r="B18" s="1" t="str">
        <x:v>advisory</x:v>
      </x:c>
      <x:c r="C18" s="12" t="n">
        <x:v>2030</x:v>
      </x:c>
      <x:c r="D18" s="1" t="str">
        <x:v>revised</x:v>
      </x:c>
      <x:c r="E18" s="1" t="str">
        <x:v>net_income_usd</x:v>
      </x:c>
      <x:c r="F18" s="13" t="n">
        <x:v>7103892.6564</x:v>
      </x:c>
      <x:c r="G18" s="13" t="n">
        <x:v>8366109.0564</x:v>
      </x:c>
      <x:c r="H18" s="13" t="n">
        <x:v>0</x:v>
      </x:c>
      <x:c r="I18" s="13" t="n">
        <x:v>1262216.4</x:v>
      </x:c>
      <x:c r="J18" s="13" t="n">
        <x:v>0</x:v>
      </x:c>
      <x:c r="K18" s="13" t="n">
        <x:v>0</x:v>
      </x:c>
      <x:c r="L18" s="14" t="n">
        <x:f>G18-F18-SUM(H18:K18)</x:f>
        <x:v>4.656612873077393e-10</x:v>
      </x:c>
    </x:row>
    <x:row r="19" ht="19" customHeight="1">
      <x:c r="A19" s="1" t="str">
        <x:v>base</x:v>
      </x:c>
      <x:c r="B19" s="1" t="str">
        <x:v>advisory</x:v>
      </x:c>
      <x:c r="C19" s="12" t="n">
        <x:v>2030</x:v>
      </x:c>
      <x:c r="D19" s="1" t="str">
        <x:v>revised</x:v>
      </x:c>
      <x:c r="E19" s="1" t="str">
        <x:v>revenue_usd</x:v>
      </x:c>
      <x:c r="F19" s="13" t="n">
        <x:v>12874080</x:v>
      </x:c>
      <x:c r="G19" s="13" t="n">
        <x:v>14161488</x:v>
      </x:c>
      <x:c r="H19" s="13" t="n">
        <x:v>0</x:v>
      </x:c>
      <x:c r="I19" s="13" t="n">
        <x:v>1287408</x:v>
      </x:c>
      <x:c r="J19" s="13" t="n">
        <x:v>0</x:v>
      </x:c>
      <x:c r="K19" s="13" t="n">
        <x:v>0</x:v>
      </x:c>
      <x:c r="L19" s="14" t="n">
        <x:f>G19-F19-SUM(H19:K19)</x:f>
        <x:v>0</x:v>
      </x:c>
    </x:row>
    <x:row r="20" ht="19" customHeight="1">
      <x:c r="A20" s="1" t="str">
        <x:v>base</x:v>
      </x:c>
      <x:c r="B20" s="1" t="str">
        <x:v>advisory</x:v>
      </x:c>
      <x:c r="C20" s="12" t="n">
        <x:v>2030</x:v>
      </x:c>
      <x:c r="D20" s="1" t="str">
        <x:v>synthetic_outturn</x:v>
      </x:c>
      <x:c r="E20" s="1" t="str">
        <x:v>net_income_usd</x:v>
      </x:c>
      <x:c r="F20" s="13" t="n">
        <x:v>8366109.0564</x:v>
      </x:c>
      <x:c r="G20" s="13" t="n">
        <x:v>8366109.0564</x:v>
      </x:c>
      <x:c r="H20" s="13" t="n">
        <x:v>0</x:v>
      </x:c>
      <x:c r="I20" s="13" t="n">
        <x:v>0</x:v>
      </x:c>
      <x:c r="J20" s="13" t="n">
        <x:v>0</x:v>
      </x:c>
      <x:c r="K20" s="13" t="n">
        <x:v>0</x:v>
      </x:c>
      <x:c r="L20" s="14" t="n">
        <x:f>G20-F20-SUM(H20:K20)</x:f>
        <x:v>0</x:v>
      </x:c>
    </x:row>
    <x:row r="21" ht="19" customHeight="1">
      <x:c r="A21" s="1" t="str">
        <x:v>base</x:v>
      </x:c>
      <x:c r="B21" s="1" t="str">
        <x:v>advisory</x:v>
      </x:c>
      <x:c r="C21" s="12" t="n">
        <x:v>2030</x:v>
      </x:c>
      <x:c r="D21" s="1" t="str">
        <x:v>synthetic_outturn</x:v>
      </x:c>
      <x:c r="E21" s="1" t="str">
        <x:v>revenue_usd</x:v>
      </x:c>
      <x:c r="F21" s="13" t="n">
        <x:v>14161488</x:v>
      </x:c>
      <x:c r="G21" s="13" t="n">
        <x:v>14161488</x:v>
      </x:c>
      <x:c r="H21" s="13" t="n">
        <x:v>0</x:v>
      </x:c>
      <x:c r="I21" s="13" t="n">
        <x:v>0</x:v>
      </x:c>
      <x:c r="J21" s="13" t="n">
        <x:v>0</x:v>
      </x:c>
      <x:c r="K21" s="13" t="n">
        <x:v>0</x:v>
      </x:c>
      <x:c r="L21" s="14" t="n">
        <x:f>G21-F21-SUM(H21:K21)</x:f>
        <x:v>0</x:v>
      </x:c>
    </x:row>
    <x:row r="22" ht="19" customHeight="1">
      <x:c r="A22" s="1" t="str">
        <x:v>base</x:v>
      </x:c>
      <x:c r="B22" s="1" t="str">
        <x:v>advisory</x:v>
      </x:c>
      <x:c r="C22" s="12" t="n">
        <x:v>2031</x:v>
      </x:c>
      <x:c r="D22" s="1" t="str">
        <x:v>revised</x:v>
      </x:c>
      <x:c r="E22" s="1" t="str">
        <x:v>net_income_usd</x:v>
      </x:c>
      <x:c r="F22" s="13" t="n">
        <x:v>6938344.5216</x:v>
      </x:c>
      <x:c r="G22" s="13" t="n">
        <x:v>8200560.9216</x:v>
      </x:c>
      <x:c r="H22" s="13" t="n">
        <x:v>0</x:v>
      </x:c>
      <x:c r="I22" s="13" t="n">
        <x:v>1262216.4</x:v>
      </x:c>
      <x:c r="J22" s="13" t="n">
        <x:v>0</x:v>
      </x:c>
      <x:c r="K22" s="13" t="n">
        <x:v>0</x:v>
      </x:c>
      <x:c r="L22" s="14" t="n">
        <x:f>G22-F22-SUM(H22:K22)</x:f>
        <x:v>4.656612873077393e-10</x:v>
      </x:c>
    </x:row>
    <x:row r="23" ht="19" customHeight="1">
      <x:c r="A23" s="1" t="str">
        <x:v>base</x:v>
      </x:c>
      <x:c r="B23" s="1" t="str">
        <x:v>advisory</x:v>
      </x:c>
      <x:c r="C23" s="12" t="n">
        <x:v>2031</x:v>
      </x:c>
      <x:c r="D23" s="1" t="str">
        <x:v>revised</x:v>
      </x:c>
      <x:c r="E23" s="1" t="str">
        <x:v>revenue_usd</x:v>
      </x:c>
      <x:c r="F23" s="13" t="n">
        <x:v>12874080</x:v>
      </x:c>
      <x:c r="G23" s="13" t="n">
        <x:v>14161488</x:v>
      </x:c>
      <x:c r="H23" s="13" t="n">
        <x:v>0</x:v>
      </x:c>
      <x:c r="I23" s="13" t="n">
        <x:v>1287408</x:v>
      </x:c>
      <x:c r="J23" s="13" t="n">
        <x:v>0</x:v>
      </x:c>
      <x:c r="K23" s="13" t="n">
        <x:v>0</x:v>
      </x:c>
      <x:c r="L23" s="14" t="n">
        <x:f>G23-F23-SUM(H23:K23)</x:f>
        <x:v>0</x:v>
      </x:c>
    </x:row>
    <x:row r="24" ht="19" customHeight="1">
      <x:c r="A24" s="1" t="str">
        <x:v>base</x:v>
      </x:c>
      <x:c r="B24" s="1" t="str">
        <x:v>advisory</x:v>
      </x:c>
      <x:c r="C24" s="12" t="n">
        <x:v>2031</x:v>
      </x:c>
      <x:c r="D24" s="1" t="str">
        <x:v>synthetic_outturn</x:v>
      </x:c>
      <x:c r="E24" s="1" t="str">
        <x:v>net_income_usd</x:v>
      </x:c>
      <x:c r="F24" s="13" t="n">
        <x:v>8200560.9216</x:v>
      </x:c>
      <x:c r="G24" s="13" t="n">
        <x:v>8200560.9216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4" t="n">
        <x:f>G24-F24-SUM(H24:K24)</x:f>
        <x:v>0</x:v>
      </x:c>
    </x:row>
    <x:row r="25" ht="19" customHeight="1">
      <x:c r="A25" s="1" t="str">
        <x:v>base</x:v>
      </x:c>
      <x:c r="B25" s="1" t="str">
        <x:v>advisory</x:v>
      </x:c>
      <x:c r="C25" s="12" t="n">
        <x:v>2031</x:v>
      </x:c>
      <x:c r="D25" s="1" t="str">
        <x:v>synthetic_outturn</x:v>
      </x:c>
      <x:c r="E25" s="1" t="str">
        <x:v>revenue_usd</x:v>
      </x:c>
      <x:c r="F25" s="13" t="n">
        <x:v>14161488</x:v>
      </x:c>
      <x:c r="G25" s="13" t="n">
        <x:v>14161488</x:v>
      </x:c>
      <x:c r="H25" s="13" t="n">
        <x:v>0</x:v>
      </x:c>
      <x:c r="I25" s="13" t="n">
        <x:v>0</x:v>
      </x:c>
      <x:c r="J25" s="13" t="n">
        <x:v>0</x:v>
      </x:c>
      <x:c r="K25" s="13" t="n">
        <x:v>0</x:v>
      </x:c>
      <x:c r="L25" s="14" t="n">
        <x:f>G25-F25-SUM(H25:K25)</x:f>
        <x:v>0</x:v>
      </x:c>
    </x:row>
    <x:row r="26" ht="19" customHeight="1">
      <x:c r="A26" s="1" t="str">
        <x:v>base</x:v>
      </x:c>
      <x:c r="B26" s="1" t="str">
        <x:v>atlas-meridian</x:v>
      </x:c>
      <x:c r="C26" s="12" t="n">
        <x:v>2027</x:v>
      </x:c>
      <x:c r="D26" s="1" t="str">
        <x:v>revised</x:v>
      </x:c>
      <x:c r="E26" s="1" t="str">
        <x:v>net_income_usd</x:v>
      </x:c>
      <x:c r="F26" s="13" t="n">
        <x:v>-2330915.8188</x:v>
      </x:c>
      <x:c r="G26" s="13" t="n">
        <x:v>-2321543.8188</x:v>
      </x:c>
      <x:c r="H26" s="13" t="n">
        <x:v>12792</x:v>
      </x:c>
      <x:c r="I26" s="13" t="n">
        <x:v>-3420</x:v>
      </x:c>
      <x:c r="J26" s="13" t="n">
        <x:v>0</x:v>
      </x:c>
      <x:c r="K26" s="13" t="n">
        <x:v>0</x:v>
      </x:c>
      <x:c r="L26" s="14" t="n">
        <x:f>G26-F26-SUM(H26:K26)</x:f>
        <x:v>0</x:v>
      </x:c>
    </x:row>
    <x:row r="27" ht="19" customHeight="1">
      <x:c r="A27" s="1" t="str">
        <x:v>base</x:v>
      </x:c>
      <x:c r="B27" s="1" t="str">
        <x:v>atlas-meridian</x:v>
      </x:c>
      <x:c r="C27" s="12" t="n">
        <x:v>2027</x:v>
      </x:c>
      <x:c r="D27" s="1" t="str">
        <x:v>revised</x:v>
      </x:c>
      <x:c r="E27" s="1" t="str">
        <x:v>revenue_usd</x:v>
      </x:c>
      <x:c r="F27" s="13" t="n">
        <x:v>4337500</x:v>
      </x:c>
      <x:c r="G27" s="13" t="n">
        <x:v>4350400</x:v>
      </x:c>
      <x:c r="H27" s="13" t="n">
        <x:v>12900</x:v>
      </x:c>
      <x:c r="I27" s="13" t="n">
        <x:v>0</x:v>
      </x:c>
      <x:c r="J27" s="13" t="n">
        <x:v>0</x:v>
      </x:c>
      <x:c r="K27" s="13" t="n">
        <x:v>0</x:v>
      </x:c>
      <x:c r="L27" s="14" t="n">
        <x:f>G27-F27-SUM(H27:K27)</x:f>
        <x:v>0</x:v>
      </x:c>
    </x:row>
    <x:row r="28" ht="19" customHeight="1">
      <x:c r="A28" s="1" t="str">
        <x:v>base</x:v>
      </x:c>
      <x:c r="B28" s="1" t="str">
        <x:v>atlas-meridian</x:v>
      </x:c>
      <x:c r="C28" s="12" t="n">
        <x:v>2027</x:v>
      </x:c>
      <x:c r="D28" s="1" t="str">
        <x:v>synthetic_outturn</x:v>
      </x:c>
      <x:c r="E28" s="1" t="str">
        <x:v>net_income_usd</x:v>
      </x:c>
      <x:c r="F28" s="13" t="n">
        <x:v>-2321543.8188</x:v>
      </x:c>
      <x:c r="G28" s="13" t="n">
        <x:v>-2438615.8188</x:v>
      </x:c>
      <x:c r="H28" s="13" t="n">
        <x:v>0</x:v>
      </x:c>
      <x:c r="I28" s="13" t="n">
        <x:v>0</x:v>
      </x:c>
      <x:c r="J28" s="13" t="n">
        <x:v>-117072</x:v>
      </x:c>
      <x:c r="K28" s="13" t="n">
        <x:v>0</x:v>
      </x:c>
      <x:c r="L28" s="14" t="n">
        <x:f>G28-F28-SUM(H28:K28)</x:f>
        <x:v>0</x:v>
      </x:c>
    </x:row>
    <x:row r="29" ht="19" customHeight="1">
      <x:c r="A29" s="1" t="str">
        <x:v>base</x:v>
      </x:c>
      <x:c r="B29" s="1" t="str">
        <x:v>atlas-meridian</x:v>
      </x:c>
      <x:c r="C29" s="12" t="n">
        <x:v>2027</x:v>
      </x:c>
      <x:c r="D29" s="1" t="str">
        <x:v>synthetic_outturn</x:v>
      </x:c>
      <x:c r="E29" s="1" t="str">
        <x:v>revenue_usd</x:v>
      </x:c>
      <x:c r="F29" s="13" t="n">
        <x:v>4350400</x:v>
      </x:c>
      <x:c r="G29" s="13" t="n">
        <x:v>4226800</x:v>
      </x:c>
      <x:c r="H29" s="13" t="n">
        <x:v>0</x:v>
      </x:c>
      <x:c r="I29" s="13" t="n">
        <x:v>0</x:v>
      </x:c>
      <x:c r="J29" s="13" t="n">
        <x:v>-123600</x:v>
      </x:c>
      <x:c r="K29" s="13" t="n">
        <x:v>0</x:v>
      </x:c>
      <x:c r="L29" s="14" t="n">
        <x:f>G29-F29-SUM(H29:K29)</x:f>
        <x:v>0</x:v>
      </x:c>
    </x:row>
    <x:row r="30" ht="19" customHeight="1">
      <x:c r="A30" s="1" t="str">
        <x:v>base</x:v>
      </x:c>
      <x:c r="B30" s="1" t="str">
        <x:v>atlas-meridian</x:v>
      </x:c>
      <x:c r="C30" s="12" t="n">
        <x:v>2028</x:v>
      </x:c>
      <x:c r="D30" s="1" t="str">
        <x:v>revised</x:v>
      </x:c>
      <x:c r="E30" s="1" t="str">
        <x:v>net_income_usd</x:v>
      </x:c>
      <x:c r="F30" s="13" t="n">
        <x:v>-1524676.4852</x:v>
      </x:c>
      <x:c r="G30" s="13" t="n">
        <x:v>-1284773.0552</x:v>
      </x:c>
      <x:c r="H30" s="13" t="n">
        <x:v>43711.68</x:v>
      </x:c>
      <x:c r="I30" s="13" t="n">
        <x:v>196191.75</x:v>
      </x:c>
      <x:c r="J30" s="13" t="n">
        <x:v>0</x:v>
      </x:c>
      <x:c r="K30" s="13" t="n">
        <x:v>0</x:v>
      </x:c>
      <x:c r="L30" s="14" t="n">
        <x:f>G30-F30-SUM(H30:K30)</x:f>
        <x:v>-5.820766091346741e-11</x:v>
      </x:c>
    </x:row>
    <x:row r="31" ht="19" customHeight="1">
      <x:c r="A31" s="1" t="str">
        <x:v>base</x:v>
      </x:c>
      <x:c r="B31" s="1" t="str">
        <x:v>atlas-meridian</x:v>
      </x:c>
      <x:c r="C31" s="12" t="n">
        <x:v>2028</x:v>
      </x:c>
      <x:c r="D31" s="1" t="str">
        <x:v>revised</x:v>
      </x:c>
      <x:c r="E31" s="1" t="str">
        <x:v>revenue_usd</x:v>
      </x:c>
      <x:c r="F31" s="13" t="n">
        <x:v>5539600</x:v>
      </x:c>
      <x:c r="G31" s="13" t="n">
        <x:v>5793316</x:v>
      </x:c>
      <x:c r="H31" s="13" t="n">
        <x:v>43716</x:v>
      </x:c>
      <x:c r="I31" s="13" t="n">
        <x:v>210000</x:v>
      </x:c>
      <x:c r="J31" s="13" t="n">
        <x:v>0</x:v>
      </x:c>
      <x:c r="K31" s="13" t="n">
        <x:v>0</x:v>
      </x:c>
      <x:c r="L31" s="14" t="n">
        <x:f>G31-F31-SUM(H31:K31)</x:f>
        <x:v>0</x:v>
      </x:c>
    </x:row>
    <x:row r="32" ht="19" customHeight="1">
      <x:c r="A32" s="1" t="str">
        <x:v>base</x:v>
      </x:c>
      <x:c r="B32" s="1" t="str">
        <x:v>atlas-meridian</x:v>
      </x:c>
      <x:c r="C32" s="12" t="n">
        <x:v>2028</x:v>
      </x:c>
      <x:c r="D32" s="1" t="str">
        <x:v>synthetic_outturn</x:v>
      </x:c>
      <x:c r="E32" s="1" t="str">
        <x:v>net_income_usd</x:v>
      </x:c>
      <x:c r="F32" s="13" t="n">
        <x:v>-1284773.0552</x:v>
      </x:c>
      <x:c r="G32" s="13" t="n">
        <x:v>-1289815.9352</x:v>
      </x:c>
      <x:c r="H32" s="13" t="n">
        <x:v>0</x:v>
      </x:c>
      <x:c r="I32" s="13" t="n">
        <x:v>0</x:v>
      </x:c>
      <x:c r="J32" s="13" t="n">
        <x:v>-5042.88</x:v>
      </x:c>
      <x:c r="K32" s="13" t="n">
        <x:v>0</x:v>
      </x:c>
      <x:c r="L32" s="14" t="n">
        <x:f>G32-F32-SUM(H32:K32)</x:f>
        <x:v>1.1186784831807017e-10</x:v>
      </x:c>
    </x:row>
    <x:row r="33" ht="19" customHeight="1">
      <x:c r="A33" s="1" t="str">
        <x:v>base</x:v>
      </x:c>
      <x:c r="B33" s="1" t="str">
        <x:v>atlas-meridian</x:v>
      </x:c>
      <x:c r="C33" s="12" t="n">
        <x:v>2028</x:v>
      </x:c>
      <x:c r="D33" s="1" t="str">
        <x:v>synthetic_outturn</x:v>
      </x:c>
      <x:c r="E33" s="1" t="str">
        <x:v>revenue_usd</x:v>
      </x:c>
      <x:c r="F33" s="13" t="n">
        <x:v>5793316</x:v>
      </x:c>
      <x:c r="G33" s="13" t="n">
        <x:v>5788372</x:v>
      </x:c>
      <x:c r="H33" s="13" t="n">
        <x:v>0</x:v>
      </x:c>
      <x:c r="I33" s="13" t="n">
        <x:v>0</x:v>
      </x:c>
      <x:c r="J33" s="13" t="n">
        <x:v>-4944</x:v>
      </x:c>
      <x:c r="K33" s="13" t="n">
        <x:v>0</x:v>
      </x:c>
      <x:c r="L33" s="14" t="n">
        <x:f>G33-F33-SUM(H33:K33)</x:f>
        <x:v>0</x:v>
      </x:c>
    </x:row>
    <x:row r="34" ht="19" customHeight="1">
      <x:c r="A34" s="1" t="str">
        <x:v>base</x:v>
      </x:c>
      <x:c r="B34" s="1" t="str">
        <x:v>atlas-meridian</x:v>
      </x:c>
      <x:c r="C34" s="12" t="n">
        <x:v>2029</x:v>
      </x:c>
      <x:c r="D34" s="1" t="str">
        <x:v>revised</x:v>
      </x:c>
      <x:c r="E34" s="1" t="str">
        <x:v>net_income_usd</x:v>
      </x:c>
      <x:c r="F34" s="13" t="n">
        <x:v>-1587175.7452</x:v>
      </x:c>
      <x:c r="G34" s="13" t="n">
        <x:v>-1345523.848</x:v>
      </x:c>
      <x:c r="H34" s="13" t="n">
        <x:v>45460.1472</x:v>
      </x:c>
      <x:c r="I34" s="13" t="n">
        <x:v>196191.75</x:v>
      </x:c>
      <x:c r="J34" s="13" t="n">
        <x:v>0</x:v>
      </x:c>
      <x:c r="K34" s="13" t="n">
        <x:v>0</x:v>
      </x:c>
      <x:c r="L34" s="14" t="n">
        <x:f>G34-F34-SUM(H34:K34)</x:f>
        <x:v>0</x:v>
      </x:c>
    </x:row>
    <x:row r="35" ht="19" customHeight="1">
      <x:c r="A35" s="1" t="str">
        <x:v>base</x:v>
      </x:c>
      <x:c r="B35" s="1" t="str">
        <x:v>atlas-meridian</x:v>
      </x:c>
      <x:c r="C35" s="12" t="n">
        <x:v>2029</x:v>
      </x:c>
      <x:c r="D35" s="1" t="str">
        <x:v>revised</x:v>
      </x:c>
      <x:c r="E35" s="1" t="str">
        <x:v>revenue_usd</x:v>
      </x:c>
      <x:c r="F35" s="13" t="n">
        <x:v>5677184</x:v>
      </x:c>
      <x:c r="G35" s="13" t="n">
        <x:v>5932648.64</x:v>
      </x:c>
      <x:c r="H35" s="13" t="n">
        <x:v>45464.64</x:v>
      </x:c>
      <x:c r="I35" s="13" t="n">
        <x:v>210000</x:v>
      </x:c>
      <x:c r="J35" s="13" t="n">
        <x:v>0</x:v>
      </x:c>
      <x:c r="K35" s="13" t="n">
        <x:v>0</x:v>
      </x:c>
      <x:c r="L35" s="14" t="n">
        <x:f>G35-F35-SUM(H35:K35)</x:f>
        <x:v>-3.4924596548080444e-10</x:v>
      </x:c>
    </x:row>
    <x:row r="36" ht="19" customHeight="1">
      <x:c r="A36" s="1" t="str">
        <x:v>base</x:v>
      </x:c>
      <x:c r="B36" s="1" t="str">
        <x:v>atlas-meridian</x:v>
      </x:c>
      <x:c r="C36" s="12" t="n">
        <x:v>2029</x:v>
      </x:c>
      <x:c r="D36" s="1" t="str">
        <x:v>synthetic_outturn</x:v>
      </x:c>
      <x:c r="E36" s="1" t="str">
        <x:v>net_income_usd</x:v>
      </x:c>
      <x:c r="F36" s="13" t="n">
        <x:v>-1345523.848</x:v>
      </x:c>
      <x:c r="G36" s="13" t="n">
        <x:v>-1350768.4432</x:v>
      </x:c>
      <x:c r="H36" s="13" t="n">
        <x:v>0</x:v>
      </x:c>
      <x:c r="I36" s="13" t="n">
        <x:v>0</x:v>
      </x:c>
      <x:c r="J36" s="13" t="n">
        <x:v>-5244.5952</x:v>
      </x:c>
      <x:c r="K36" s="13" t="n">
        <x:v>0</x:v>
      </x:c>
      <x:c r="L36" s="14" t="n">
        <x:f>G36-F36-SUM(H36:K36)</x:f>
        <x:v>-9.822542779147625e-11</x:v>
      </x:c>
    </x:row>
    <x:row r="37" ht="19" customHeight="1">
      <x:c r="A37" s="1" t="str">
        <x:v>base</x:v>
      </x:c>
      <x:c r="B37" s="1" t="str">
        <x:v>atlas-meridian</x:v>
      </x:c>
      <x:c r="C37" s="12" t="n">
        <x:v>2029</x:v>
      </x:c>
      <x:c r="D37" s="1" t="str">
        <x:v>synthetic_outturn</x:v>
      </x:c>
      <x:c r="E37" s="1" t="str">
        <x:v>revenue_usd</x:v>
      </x:c>
      <x:c r="F37" s="13" t="n">
        <x:v>5932648.64</x:v>
      </x:c>
      <x:c r="G37" s="13" t="n">
        <x:v>5927506.88</x:v>
      </x:c>
      <x:c r="H37" s="13" t="n">
        <x:v>0</x:v>
      </x:c>
      <x:c r="I37" s="13" t="n">
        <x:v>0</x:v>
      </x:c>
      <x:c r="J37" s="13" t="n">
        <x:v>-5141.76</x:v>
      </x:c>
      <x:c r="K37" s="13" t="n">
        <x:v>0</x:v>
      </x:c>
      <x:c r="L37" s="14" t="n">
        <x:f>G37-F37-SUM(H37:K37)</x:f>
        <x:v>2.2373569663614035e-10</x:v>
      </x:c>
    </x:row>
    <x:row r="38" ht="19" customHeight="1">
      <x:c r="A38" s="1" t="str">
        <x:v>base</x:v>
      </x:c>
      <x:c r="B38" s="1" t="str">
        <x:v>atlas-meridian</x:v>
      </x:c>
      <x:c r="C38" s="12" t="n">
        <x:v>2030</x:v>
      </x:c>
      <x:c r="D38" s="1" t="str">
        <x:v>revised</x:v>
      </x:c>
      <x:c r="E38" s="1" t="str">
        <x:v>net_income_usd</x:v>
      </x:c>
      <x:c r="F38" s="13" t="n">
        <x:v>-1650174.2228</x:v>
      </x:c>
      <x:c r="G38" s="13" t="n">
        <x:v>-1406703.9197</x:v>
      </x:c>
      <x:c r="H38" s="13" t="n">
        <x:v>47278.5531</x:v>
      </x:c>
      <x:c r="I38" s="13" t="n">
        <x:v>196191.75</x:v>
      </x:c>
      <x:c r="J38" s="13" t="n">
        <x:v>0</x:v>
      </x:c>
      <x:c r="K38" s="13" t="n">
        <x:v>0</x:v>
      </x:c>
      <x:c r="L38" s="14" t="n">
        <x:f>G38-F38-SUM(H38:K38)</x:f>
        <x:v>1.4551915228366852e-10</x:v>
      </x:c>
    </x:row>
    <x:row r="39" ht="19" customHeight="1">
      <x:c r="A39" s="1" t="str">
        <x:v>base</x:v>
      </x:c>
      <x:c r="B39" s="1" t="str">
        <x:v>atlas-meridian</x:v>
      </x:c>
      <x:c r="C39" s="12" t="n">
        <x:v>2030</x:v>
      </x:c>
      <x:c r="D39" s="1" t="str">
        <x:v>revised</x:v>
      </x:c>
      <x:c r="E39" s="1" t="str">
        <x:v>revenue_usd</x:v>
      </x:c>
      <x:c r="F39" s="13" t="n">
        <x:v>5820271.36</x:v>
      </x:c>
      <x:c r="G39" s="13" t="n">
        <x:v>6077554.5856</x:v>
      </x:c>
      <x:c r="H39" s="13" t="n">
        <x:v>47283.2256</x:v>
      </x:c>
      <x:c r="I39" s="13" t="n">
        <x:v>210000</x:v>
      </x:c>
      <x:c r="J39" s="13" t="n">
        <x:v>0</x:v>
      </x:c>
      <x:c r="K39" s="13" t="n">
        <x:v>0</x:v>
      </x:c>
      <x:c r="L39" s="14" t="n">
        <x:f>G39-F39-SUM(H39:K39)</x:f>
        <x:v>-4.656612873077393e-10</x:v>
      </x:c>
    </x:row>
    <x:row r="40" ht="19" customHeight="1">
      <x:c r="A40" s="1" t="str">
        <x:v>base</x:v>
      </x:c>
      <x:c r="B40" s="1" t="str">
        <x:v>atlas-meridian</x:v>
      </x:c>
      <x:c r="C40" s="12" t="n">
        <x:v>2030</x:v>
      </x:c>
      <x:c r="D40" s="1" t="str">
        <x:v>synthetic_outturn</x:v>
      </x:c>
      <x:c r="E40" s="1" t="str">
        <x:v>net_income_usd</x:v>
      </x:c>
      <x:c r="F40" s="13" t="n">
        <x:v>-1406703.9197</x:v>
      </x:c>
      <x:c r="G40" s="13" t="n">
        <x:v>-1412158.2987</x:v>
      </x:c>
      <x:c r="H40" s="13" t="n">
        <x:v>0</x:v>
      </x:c>
      <x:c r="I40" s="13" t="n">
        <x:v>0</x:v>
      </x:c>
      <x:c r="J40" s="13" t="n">
        <x:v>-5454.379</x:v>
      </x:c>
      <x:c r="K40" s="13" t="n">
        <x:v>0</x:v>
      </x:c>
      <x:c r="L40" s="14" t="n">
        <x:f>G40-F40-SUM(H40:K40)</x:f>
        <x:v>4.274625098332763e-11</x:v>
      </x:c>
    </x:row>
    <x:row r="41" ht="19" customHeight="1">
      <x:c r="A41" s="1" t="str">
        <x:v>base</x:v>
      </x:c>
      <x:c r="B41" s="1" t="str">
        <x:v>atlas-meridian</x:v>
      </x:c>
      <x:c r="C41" s="12" t="n">
        <x:v>2030</x:v>
      </x:c>
      <x:c r="D41" s="1" t="str">
        <x:v>synthetic_outturn</x:v>
      </x:c>
      <x:c r="E41" s="1" t="str">
        <x:v>revenue_usd</x:v>
      </x:c>
      <x:c r="F41" s="13" t="n">
        <x:v>6077554.5856</x:v>
      </x:c>
      <x:c r="G41" s="13" t="n">
        <x:v>6072207.1552</x:v>
      </x:c>
      <x:c r="H41" s="13" t="n">
        <x:v>0</x:v>
      </x:c>
      <x:c r="I41" s="13" t="n">
        <x:v>0</x:v>
      </x:c>
      <x:c r="J41" s="13" t="n">
        <x:v>-5347.4304</x:v>
      </x:c>
      <x:c r="K41" s="13" t="n">
        <x:v>0</x:v>
      </x:c>
      <x:c r="L41" s="14" t="n">
        <x:f>G41-F41-SUM(H41:K41)</x:f>
        <x:v>4.638422979041934e-11</x:v>
      </x:c>
    </x:row>
    <x:row r="42" ht="19" customHeight="1">
      <x:c r="A42" s="1" t="str">
        <x:v>base</x:v>
      </x:c>
      <x:c r="B42" s="1" t="str">
        <x:v>atlas-meridian</x:v>
      </x:c>
      <x:c r="C42" s="12" t="n">
        <x:v>2031</x:v>
      </x:c>
      <x:c r="D42" s="1" t="str">
        <x:v>revised</x:v>
      </x:c>
      <x:c r="E42" s="1" t="str">
        <x:v>net_income_usd</x:v>
      </x:c>
      <x:c r="F42" s="13" t="n">
        <x:v>-1713631.7904</x:v>
      </x:c>
      <x:c r="G42" s="13" t="n">
        <x:v>-1468270.3455</x:v>
      </x:c>
      <x:c r="H42" s="13" t="n">
        <x:v>49169.6949</x:v>
      </x:c>
      <x:c r="I42" s="13" t="n">
        <x:v>196191.75</x:v>
      </x:c>
      <x:c r="J42" s="13" t="n">
        <x:v>0</x:v>
      </x:c>
      <x:c r="K42" s="13" t="n">
        <x:v>0</x:v>
      </x:c>
      <x:c r="L42" s="14" t="n">
        <x:f>G42-F42-SUM(H42:K42)</x:f>
        <x:v>0</x:v>
      </x:c>
    </x:row>
    <x:row r="43" ht="19" customHeight="1">
      <x:c r="A43" s="1" t="str">
        <x:v>base</x:v>
      </x:c>
      <x:c r="B43" s="1" t="str">
        <x:v>atlas-meridian</x:v>
      </x:c>
      <x:c r="C43" s="12" t="n">
        <x:v>2031</x:v>
      </x:c>
      <x:c r="D43" s="1" t="str">
        <x:v>revised</x:v>
      </x:c>
      <x:c r="E43" s="1" t="str">
        <x:v>revenue_usd</x:v>
      </x:c>
      <x:c r="F43" s="13" t="n">
        <x:v>5969082.2144</x:v>
      </x:c>
      <x:c r="G43" s="13" t="n">
        <x:v>6228256.7688</x:v>
      </x:c>
      <x:c r="H43" s="13" t="n">
        <x:v>49174.5544</x:v>
      </x:c>
      <x:c r="I43" s="13" t="n">
        <x:v>210000</x:v>
      </x:c>
      <x:c r="J43" s="13" t="n">
        <x:v>0</x:v>
      </x:c>
      <x:c r="K43" s="13" t="n">
        <x:v>0</x:v>
      </x:c>
      <x:c r="L43" s="14" t="n">
        <x:f>G43-F43-SUM(H43:K43)</x:f>
        <x:v>-2.0372681319713593e-10</x:v>
      </x:c>
    </x:row>
    <x:row r="44" ht="19" customHeight="1">
      <x:c r="A44" s="1" t="str">
        <x:v>base</x:v>
      </x:c>
      <x:c r="B44" s="1" t="str">
        <x:v>atlas-meridian</x:v>
      </x:c>
      <x:c r="C44" s="12" t="n">
        <x:v>2031</x:v>
      </x:c>
      <x:c r="D44" s="1" t="str">
        <x:v>synthetic_outturn</x:v>
      </x:c>
      <x:c r="E44" s="1" t="str">
        <x:v>net_income_usd</x:v>
      </x:c>
      <x:c r="F44" s="13" t="n">
        <x:v>-1468270.3455</x:v>
      </x:c>
      <x:c r="G44" s="13" t="n">
        <x:v>-1473942.8996</x:v>
      </x:c>
      <x:c r="H44" s="13" t="n">
        <x:v>0</x:v>
      </x:c>
      <x:c r="I44" s="13" t="n">
        <x:v>0</x:v>
      </x:c>
      <x:c r="J44" s="13" t="n">
        <x:v>-5672.5541</x:v>
      </x:c>
      <x:c r="K44" s="13" t="n">
        <x:v>0</x:v>
      </x:c>
      <x:c r="L44" s="14" t="n">
        <x:f>G44-F44-SUM(H44:K44)</x:f>
        <x:v>1.6643753042444587e-10</x:v>
      </x:c>
    </x:row>
    <x:row r="45" ht="19" customHeight="1">
      <x:c r="A45" s="1" t="str">
        <x:v>base</x:v>
      </x:c>
      <x:c r="B45" s="1" t="str">
        <x:v>atlas-meridian</x:v>
      </x:c>
      <x:c r="C45" s="12" t="n">
        <x:v>2031</x:v>
      </x:c>
      <x:c r="D45" s="1" t="str">
        <x:v>synthetic_outturn</x:v>
      </x:c>
      <x:c r="E45" s="1" t="str">
        <x:v>revenue_usd</x:v>
      </x:c>
      <x:c r="F45" s="13" t="n">
        <x:v>6228256.7688</x:v>
      </x:c>
      <x:c r="G45" s="13" t="n">
        <x:v>6222695.4412</x:v>
      </x:c>
      <x:c r="H45" s="13" t="n">
        <x:v>0</x:v>
      </x:c>
      <x:c r="I45" s="13" t="n">
        <x:v>0</x:v>
      </x:c>
      <x:c r="J45" s="13" t="n">
        <x:v>-5561.3276</x:v>
      </x:c>
      <x:c r="K45" s="13" t="n">
        <x:v>0</x:v>
      </x:c>
      <x:c r="L45" s="14" t="n">
        <x:f>G45-F45-SUM(H45:K45)</x:f>
        <x:v>5.047695594839752e-10</x:v>
      </x:c>
    </x:row>
    <x:row r="46" ht="19" customHeight="1">
      <x:c r="A46" s="1" t="str">
        <x:v>base</x:v>
      </x:c>
      <x:c r="B46" s="1" t="str">
        <x:v>corporate</x:v>
      </x:c>
      <x:c r="C46" s="12" t="n">
        <x:v>2027</x:v>
      </x:c>
      <x:c r="D46" s="1" t="str">
        <x:v>revised</x:v>
      </x:c>
      <x:c r="E46" s="1" t="str">
        <x:v>net_income_usd</x:v>
      </x:c>
      <x:c r="F46" s="13" t="n">
        <x:v>-35388041.6139</x:v>
      </x:c>
      <x:c r="G46" s="13" t="n">
        <x:v>-35388041.6139</x:v>
      </x:c>
      <x:c r="H46" s="13" t="n">
        <x:v>0</x:v>
      </x:c>
      <x:c r="I46" s="13" t="n">
        <x:v>0</x:v>
      </x:c>
      <x:c r="J46" s="13" t="n">
        <x:v>0</x:v>
      </x:c>
      <x:c r="K46" s="13" t="n">
        <x:v>0</x:v>
      </x:c>
      <x:c r="L46" s="14" t="n">
        <x:f>G46-F46-SUM(H46:K46)</x:f>
        <x:v>0</x:v>
      </x:c>
    </x:row>
    <x:row r="47" ht="19" customHeight="1">
      <x:c r="A47" s="1" t="str">
        <x:v>base</x:v>
      </x:c>
      <x:c r="B47" s="1" t="str">
        <x:v>corporate</x:v>
      </x:c>
      <x:c r="C47" s="12" t="n">
        <x:v>2027</x:v>
      </x:c>
      <x:c r="D47" s="1" t="str">
        <x:v>revised</x:v>
      </x:c>
      <x:c r="E47" s="1" t="str">
        <x:v>revenue_usd</x:v>
      </x:c>
      <x:c r="F47" s="13" t="n">
        <x:v>0</x:v>
      </x:c>
      <x:c r="G47" s="13" t="n">
        <x:v>0</x:v>
      </x:c>
      <x:c r="H47" s="13" t="n">
        <x:v>0</x:v>
      </x:c>
      <x:c r="I47" s="13" t="n">
        <x:v>0</x:v>
      </x:c>
      <x:c r="J47" s="13" t="n">
        <x:v>0</x:v>
      </x:c>
      <x:c r="K47" s="13" t="n">
        <x:v>0</x:v>
      </x:c>
      <x:c r="L47" s="14" t="n">
        <x:f>G47-F47-SUM(H47:K47)</x:f>
        <x:v>0</x:v>
      </x:c>
    </x:row>
    <x:row r="48" ht="19" customHeight="1">
      <x:c r="A48" s="1" t="str">
        <x:v>base</x:v>
      </x:c>
      <x:c r="B48" s="1" t="str">
        <x:v>corporate</x:v>
      </x:c>
      <x:c r="C48" s="12" t="n">
        <x:v>2027</x:v>
      </x:c>
      <x:c r="D48" s="1" t="str">
        <x:v>synthetic_outturn</x:v>
      </x:c>
      <x:c r="E48" s="1" t="str">
        <x:v>net_income_usd</x:v>
      </x:c>
      <x:c r="F48" s="13" t="n">
        <x:v>-35388041.6139</x:v>
      </x:c>
      <x:c r="G48" s="13" t="n">
        <x:v>-35388041.6139</x:v>
      </x:c>
      <x:c r="H48" s="13" t="n">
        <x:v>0</x:v>
      </x:c>
      <x:c r="I48" s="13" t="n">
        <x:v>0</x:v>
      </x:c>
      <x:c r="J48" s="13" t="n">
        <x:v>0</x:v>
      </x:c>
      <x:c r="K48" s="13" t="n">
        <x:v>0</x:v>
      </x:c>
      <x:c r="L48" s="14" t="n">
        <x:f>G48-F48-SUM(H48:K48)</x:f>
        <x:v>0</x:v>
      </x:c>
    </x:row>
    <x:row r="49" ht="19" customHeight="1">
      <x:c r="A49" s="1" t="str">
        <x:v>base</x:v>
      </x:c>
      <x:c r="B49" s="1" t="str">
        <x:v>corporate</x:v>
      </x:c>
      <x:c r="C49" s="12" t="n">
        <x:v>2027</x:v>
      </x:c>
      <x:c r="D49" s="1" t="str">
        <x:v>synthetic_outturn</x:v>
      </x:c>
      <x:c r="E49" s="1" t="str">
        <x:v>revenue_usd</x:v>
      </x:c>
      <x:c r="F49" s="13" t="n">
        <x:v>0</x:v>
      </x:c>
      <x:c r="G49" s="13" t="n">
        <x:v>0</x:v>
      </x:c>
      <x:c r="H49" s="13" t="n">
        <x:v>0</x:v>
      </x:c>
      <x:c r="I49" s="13" t="n">
        <x:v>0</x:v>
      </x:c>
      <x:c r="J49" s="13" t="n">
        <x:v>0</x:v>
      </x:c>
      <x:c r="K49" s="13" t="n">
        <x:v>0</x:v>
      </x:c>
      <x:c r="L49" s="14" t="n">
        <x:f>G49-F49-SUM(H49:K49)</x:f>
        <x:v>0</x:v>
      </x:c>
    </x:row>
    <x:row r="50" ht="19" customHeight="1">
      <x:c r="A50" s="1" t="str">
        <x:v>base</x:v>
      </x:c>
      <x:c r="B50" s="1" t="str">
        <x:v>corporate</x:v>
      </x:c>
      <x:c r="C50" s="12" t="n">
        <x:v>2028</x:v>
      </x:c>
      <x:c r="D50" s="1" t="str">
        <x:v>revised</x:v>
      </x:c>
      <x:c r="E50" s="1" t="str">
        <x:v>net_income_usd</x:v>
      </x:c>
      <x:c r="F50" s="13" t="n">
        <x:v>-36674049.9476</x:v>
      </x:c>
      <x:c r="G50" s="13" t="n">
        <x:v>-36674049.9476</x:v>
      </x:c>
      <x:c r="H50" s="13" t="n">
        <x:v>0</x:v>
      </x:c>
      <x:c r="I50" s="13" t="n">
        <x:v>0</x:v>
      </x:c>
      <x:c r="J50" s="13" t="n">
        <x:v>0</x:v>
      </x:c>
      <x:c r="K50" s="13" t="n">
        <x:v>0</x:v>
      </x:c>
      <x:c r="L50" s="14" t="n">
        <x:f>G50-F50-SUM(H50:K50)</x:f>
        <x:v>0</x:v>
      </x:c>
    </x:row>
    <x:row r="51" ht="19" customHeight="1">
      <x:c r="A51" s="1" t="str">
        <x:v>base</x:v>
      </x:c>
      <x:c r="B51" s="1" t="str">
        <x:v>corporate</x:v>
      </x:c>
      <x:c r="C51" s="12" t="n">
        <x:v>2028</x:v>
      </x:c>
      <x:c r="D51" s="1" t="str">
        <x:v>revised</x:v>
      </x:c>
      <x:c r="E51" s="1" t="str">
        <x:v>revenue_usd</x:v>
      </x:c>
      <x:c r="F51" s="13" t="n">
        <x:v>0</x:v>
      </x:c>
      <x:c r="G51" s="13" t="n">
        <x:v>0</x:v>
      </x:c>
      <x:c r="H51" s="13" t="n">
        <x:v>0</x:v>
      </x:c>
      <x:c r="I51" s="13" t="n">
        <x:v>0</x:v>
      </x:c>
      <x:c r="J51" s="13" t="n">
        <x:v>0</x:v>
      </x:c>
      <x:c r="K51" s="13" t="n">
        <x:v>0</x:v>
      </x:c>
      <x:c r="L51" s="14" t="n">
        <x:f>G51-F51-SUM(H51:K51)</x:f>
        <x:v>0</x:v>
      </x:c>
    </x:row>
    <x:row r="52" ht="19" customHeight="1">
      <x:c r="A52" s="1" t="str">
        <x:v>base</x:v>
      </x:c>
      <x:c r="B52" s="1" t="str">
        <x:v>corporate</x:v>
      </x:c>
      <x:c r="C52" s="12" t="n">
        <x:v>2028</x:v>
      </x:c>
      <x:c r="D52" s="1" t="str">
        <x:v>synthetic_outturn</x:v>
      </x:c>
      <x:c r="E52" s="1" t="str">
        <x:v>net_income_usd</x:v>
      </x:c>
      <x:c r="F52" s="13" t="n">
        <x:v>-36674049.9476</x:v>
      </x:c>
      <x:c r="G52" s="13" t="n">
        <x:v>-36674049.9476</x:v>
      </x:c>
      <x:c r="H52" s="13" t="n">
        <x:v>0</x:v>
      </x:c>
      <x:c r="I52" s="13" t="n">
        <x:v>0</x:v>
      </x:c>
      <x:c r="J52" s="13" t="n">
        <x:v>0</x:v>
      </x:c>
      <x:c r="K52" s="13" t="n">
        <x:v>0</x:v>
      </x:c>
      <x:c r="L52" s="14" t="n">
        <x:f>G52-F52-SUM(H52:K52)</x:f>
        <x:v>0</x:v>
      </x:c>
    </x:row>
    <x:row r="53" ht="19" customHeight="1">
      <x:c r="A53" s="1" t="str">
        <x:v>base</x:v>
      </x:c>
      <x:c r="B53" s="1" t="str">
        <x:v>corporate</x:v>
      </x:c>
      <x:c r="C53" s="12" t="n">
        <x:v>2028</x:v>
      </x:c>
      <x:c r="D53" s="1" t="str">
        <x:v>synthetic_outturn</x:v>
      </x:c>
      <x:c r="E53" s="1" t="str">
        <x:v>revenue_usd</x:v>
      </x:c>
      <x:c r="F53" s="13" t="n">
        <x:v>0</x:v>
      </x:c>
      <x:c r="G53" s="13" t="n">
        <x:v>0</x:v>
      </x:c>
      <x:c r="H53" s="13" t="n">
        <x:v>0</x:v>
      </x:c>
      <x:c r="I53" s="13" t="n">
        <x:v>0</x:v>
      </x:c>
      <x:c r="J53" s="13" t="n">
        <x:v>0</x:v>
      </x:c>
      <x:c r="K53" s="13" t="n">
        <x:v>0</x:v>
      </x:c>
      <x:c r="L53" s="14" t="n">
        <x:f>G53-F53-SUM(H53:K53)</x:f>
        <x:v>0</x:v>
      </x:c>
    </x:row>
    <x:row r="54" ht="19" customHeight="1">
      <x:c r="A54" s="1" t="str">
        <x:v>base</x:v>
      </x:c>
      <x:c r="B54" s="1" t="str">
        <x:v>corporate</x:v>
      </x:c>
      <x:c r="C54" s="12" t="n">
        <x:v>2029</x:v>
      </x:c>
      <x:c r="D54" s="1" t="str">
        <x:v>revised</x:v>
      </x:c>
      <x:c r="E54" s="1" t="str">
        <x:v>net_income_usd</x:v>
      </x:c>
      <x:c r="F54" s="13" t="n">
        <x:v>-37759978.9476</x:v>
      </x:c>
      <x:c r="G54" s="13" t="n">
        <x:v>-37759978.9476</x:v>
      </x:c>
      <x:c r="H54" s="13" t="n">
        <x:v>0</x:v>
      </x:c>
      <x:c r="I54" s="13" t="n">
        <x:v>0</x:v>
      </x:c>
      <x:c r="J54" s="13" t="n">
        <x:v>0</x:v>
      </x:c>
      <x:c r="K54" s="13" t="n">
        <x:v>0</x:v>
      </x:c>
      <x:c r="L54" s="14" t="n">
        <x:f>G54-F54-SUM(H54:K54)</x:f>
        <x:v>0</x:v>
      </x:c>
    </x:row>
    <x:row r="55" ht="19" customHeight="1">
      <x:c r="A55" s="1" t="str">
        <x:v>base</x:v>
      </x:c>
      <x:c r="B55" s="1" t="str">
        <x:v>corporate</x:v>
      </x:c>
      <x:c r="C55" s="12" t="n">
        <x:v>2029</x:v>
      </x:c>
      <x:c r="D55" s="1" t="str">
        <x:v>revised</x:v>
      </x:c>
      <x:c r="E55" s="1" t="str">
        <x:v>revenue_usd</x:v>
      </x:c>
      <x:c r="F55" s="13" t="n">
        <x:v>0</x:v>
      </x:c>
      <x:c r="G55" s="13" t="n">
        <x:v>0</x:v>
      </x:c>
      <x:c r="H55" s="13" t="n">
        <x:v>0</x:v>
      </x:c>
      <x:c r="I55" s="13" t="n">
        <x:v>0</x:v>
      </x:c>
      <x:c r="J55" s="13" t="n">
        <x:v>0</x:v>
      </x:c>
      <x:c r="K55" s="13" t="n">
        <x:v>0</x:v>
      </x:c>
      <x:c r="L55" s="14" t="n">
        <x:f>G55-F55-SUM(H55:K55)</x:f>
        <x:v>0</x:v>
      </x:c>
    </x:row>
    <x:row r="56" ht="19" customHeight="1">
      <x:c r="A56" s="1" t="str">
        <x:v>base</x:v>
      </x:c>
      <x:c r="B56" s="1" t="str">
        <x:v>corporate</x:v>
      </x:c>
      <x:c r="C56" s="12" t="n">
        <x:v>2029</x:v>
      </x:c>
      <x:c r="D56" s="1" t="str">
        <x:v>synthetic_outturn</x:v>
      </x:c>
      <x:c r="E56" s="1" t="str">
        <x:v>net_income_usd</x:v>
      </x:c>
      <x:c r="F56" s="13" t="n">
        <x:v>-37759978.9476</x:v>
      </x:c>
      <x:c r="G56" s="13" t="n">
        <x:v>-37759978.9476</x:v>
      </x:c>
      <x:c r="H56" s="13" t="n">
        <x:v>0</x:v>
      </x:c>
      <x:c r="I56" s="13" t="n">
        <x:v>0</x:v>
      </x:c>
      <x:c r="J56" s="13" t="n">
        <x:v>0</x:v>
      </x:c>
      <x:c r="K56" s="13" t="n">
        <x:v>0</x:v>
      </x:c>
      <x:c r="L56" s="14" t="n">
        <x:f>G56-F56-SUM(H56:K56)</x:f>
        <x:v>0</x:v>
      </x:c>
    </x:row>
    <x:row r="57" ht="19" customHeight="1">
      <x:c r="A57" s="1" t="str">
        <x:v>base</x:v>
      </x:c>
      <x:c r="B57" s="1" t="str">
        <x:v>corporate</x:v>
      </x:c>
      <x:c r="C57" s="12" t="n">
        <x:v>2029</x:v>
      </x:c>
      <x:c r="D57" s="1" t="str">
        <x:v>synthetic_outturn</x:v>
      </x:c>
      <x:c r="E57" s="1" t="str">
        <x:v>revenue_usd</x:v>
      </x:c>
      <x:c r="F57" s="13" t="n">
        <x:v>0</x:v>
      </x:c>
      <x:c r="G57" s="13" t="n">
        <x:v>0</x:v>
      </x:c>
      <x:c r="H57" s="13" t="n">
        <x:v>0</x:v>
      </x:c>
      <x:c r="I57" s="13" t="n">
        <x:v>0</x:v>
      </x:c>
      <x:c r="J57" s="13" t="n">
        <x:v>0</x:v>
      </x:c>
      <x:c r="K57" s="13" t="n">
        <x:v>0</x:v>
      </x:c>
      <x:c r="L57" s="14" t="n">
        <x:f>G57-F57-SUM(H57:K57)</x:f>
        <x:v>0</x:v>
      </x:c>
    </x:row>
    <x:row r="58" ht="19" customHeight="1">
      <x:c r="A58" s="1" t="str">
        <x:v>base</x:v>
      </x:c>
      <x:c r="B58" s="1" t="str">
        <x:v>corporate</x:v>
      </x:c>
      <x:c r="C58" s="12" t="n">
        <x:v>2030</x:v>
      </x:c>
      <x:c r="D58" s="1" t="str">
        <x:v>revised</x:v>
      </x:c>
      <x:c r="E58" s="1" t="str">
        <x:v>net_income_usd</x:v>
      </x:c>
      <x:c r="F58" s="13" t="n">
        <x:v>-38851963.4256</x:v>
      </x:c>
      <x:c r="G58" s="13" t="n">
        <x:v>-38851963.4256</x:v>
      </x:c>
      <x:c r="H58" s="13" t="n">
        <x:v>0</x:v>
      </x:c>
      <x:c r="I58" s="13" t="n">
        <x:v>0</x:v>
      </x:c>
      <x:c r="J58" s="13" t="n">
        <x:v>0</x:v>
      </x:c>
      <x:c r="K58" s="13" t="n">
        <x:v>0</x:v>
      </x:c>
      <x:c r="L58" s="14" t="n">
        <x:f>G58-F58-SUM(H58:K58)</x:f>
        <x:v>0</x:v>
      </x:c>
    </x:row>
    <x:row r="59" ht="19" customHeight="1">
      <x:c r="A59" s="1" t="str">
        <x:v>base</x:v>
      </x:c>
      <x:c r="B59" s="1" t="str">
        <x:v>corporate</x:v>
      </x:c>
      <x:c r="C59" s="12" t="n">
        <x:v>2030</x:v>
      </x:c>
      <x:c r="D59" s="1" t="str">
        <x:v>revised</x:v>
      </x:c>
      <x:c r="E59" s="1" t="str">
        <x:v>revenue_usd</x:v>
      </x:c>
      <x:c r="F59" s="13" t="n">
        <x:v>0</x:v>
      </x:c>
      <x:c r="G59" s="13" t="n">
        <x:v>0</x:v>
      </x:c>
      <x:c r="H59" s="13" t="n">
        <x:v>0</x:v>
      </x:c>
      <x:c r="I59" s="13" t="n">
        <x:v>0</x:v>
      </x:c>
      <x:c r="J59" s="13" t="n">
        <x:v>0</x:v>
      </x:c>
      <x:c r="K59" s="13" t="n">
        <x:v>0</x:v>
      </x:c>
      <x:c r="L59" s="14" t="n">
        <x:f>G59-F59-SUM(H59:K59)</x:f>
        <x:v>0</x:v>
      </x:c>
    </x:row>
    <x:row r="60" ht="19" customHeight="1">
      <x:c r="A60" s="1" t="str">
        <x:v>base</x:v>
      </x:c>
      <x:c r="B60" s="1" t="str">
        <x:v>corporate</x:v>
      </x:c>
      <x:c r="C60" s="12" t="n">
        <x:v>2030</x:v>
      </x:c>
      <x:c r="D60" s="1" t="str">
        <x:v>synthetic_outturn</x:v>
      </x:c>
      <x:c r="E60" s="1" t="str">
        <x:v>net_income_usd</x:v>
      </x:c>
      <x:c r="F60" s="13" t="n">
        <x:v>-38851963.4256</x:v>
      </x:c>
      <x:c r="G60" s="13" t="n">
        <x:v>-38851963.4256</x:v>
      </x:c>
      <x:c r="H60" s="13" t="n">
        <x:v>0</x:v>
      </x:c>
      <x:c r="I60" s="13" t="n">
        <x:v>0</x:v>
      </x:c>
      <x:c r="J60" s="13" t="n">
        <x:v>0</x:v>
      </x:c>
      <x:c r="K60" s="13" t="n">
        <x:v>0</x:v>
      </x:c>
      <x:c r="L60" s="14" t="n">
        <x:f>G60-F60-SUM(H60:K60)</x:f>
        <x:v>0</x:v>
      </x:c>
    </x:row>
    <x:row r="61" ht="19" customHeight="1">
      <x:c r="A61" s="1" t="str">
        <x:v>base</x:v>
      </x:c>
      <x:c r="B61" s="1" t="str">
        <x:v>corporate</x:v>
      </x:c>
      <x:c r="C61" s="12" t="n">
        <x:v>2030</x:v>
      </x:c>
      <x:c r="D61" s="1" t="str">
        <x:v>synthetic_outturn</x:v>
      </x:c>
      <x:c r="E61" s="1" t="str">
        <x:v>revenue_usd</x:v>
      </x:c>
      <x:c r="F61" s="13" t="n">
        <x:v>0</x:v>
      </x:c>
      <x:c r="G61" s="13" t="n">
        <x:v>0</x:v>
      </x:c>
      <x:c r="H61" s="13" t="n">
        <x:v>0</x:v>
      </x:c>
      <x:c r="I61" s="13" t="n">
        <x:v>0</x:v>
      </x:c>
      <x:c r="J61" s="13" t="n">
        <x:v>0</x:v>
      </x:c>
      <x:c r="K61" s="13" t="n">
        <x:v>0</x:v>
      </x:c>
      <x:c r="L61" s="14" t="n">
        <x:f>G61-F61-SUM(H61:K61)</x:f>
        <x:v>0</x:v>
      </x:c>
    </x:row>
    <x:row r="62" ht="19" customHeight="1">
      <x:c r="A62" s="1" t="str">
        <x:v>base</x:v>
      </x:c>
      <x:c r="B62" s="1" t="str">
        <x:v>corporate</x:v>
      </x:c>
      <x:c r="C62" s="12" t="n">
        <x:v>2031</x:v>
      </x:c>
      <x:c r="D62" s="1" t="str">
        <x:v>revised</x:v>
      </x:c>
      <x:c r="E62" s="1" t="str">
        <x:v>net_income_usd</x:v>
      </x:c>
      <x:c r="F62" s="13" t="n">
        <x:v>-39976707.2136</x:v>
      </x:c>
      <x:c r="G62" s="13" t="n">
        <x:v>-39976707.2136</x:v>
      </x:c>
      <x:c r="H62" s="13" t="n">
        <x:v>0</x:v>
      </x:c>
      <x:c r="I62" s="13" t="n">
        <x:v>0</x:v>
      </x:c>
      <x:c r="J62" s="13" t="n">
        <x:v>0</x:v>
      </x:c>
      <x:c r="K62" s="13" t="n">
        <x:v>0</x:v>
      </x:c>
      <x:c r="L62" s="14" t="n">
        <x:f>G62-F62-SUM(H62:K62)</x:f>
        <x:v>0</x:v>
      </x:c>
    </x:row>
    <x:row r="63" ht="19" customHeight="1">
      <x:c r="A63" s="1" t="str">
        <x:v>base</x:v>
      </x:c>
      <x:c r="B63" s="1" t="str">
        <x:v>corporate</x:v>
      </x:c>
      <x:c r="C63" s="12" t="n">
        <x:v>2031</x:v>
      </x:c>
      <x:c r="D63" s="1" t="str">
        <x:v>revised</x:v>
      </x:c>
      <x:c r="E63" s="1" t="str">
        <x:v>revenue_usd</x:v>
      </x:c>
      <x:c r="F63" s="13" t="n">
        <x:v>0</x:v>
      </x:c>
      <x:c r="G63" s="13" t="n">
        <x:v>0</x:v>
      </x:c>
      <x:c r="H63" s="13" t="n">
        <x:v>0</x:v>
      </x:c>
      <x:c r="I63" s="13" t="n">
        <x:v>0</x:v>
      </x:c>
      <x:c r="J63" s="13" t="n">
        <x:v>0</x:v>
      </x:c>
      <x:c r="K63" s="13" t="n">
        <x:v>0</x:v>
      </x:c>
      <x:c r="L63" s="14" t="n">
        <x:f>G63-F63-SUM(H63:K63)</x:f>
        <x:v>0</x:v>
      </x:c>
    </x:row>
    <x:row r="64" ht="19" customHeight="1">
      <x:c r="A64" s="1" t="str">
        <x:v>base</x:v>
      </x:c>
      <x:c r="B64" s="1" t="str">
        <x:v>corporate</x:v>
      </x:c>
      <x:c r="C64" s="12" t="n">
        <x:v>2031</x:v>
      </x:c>
      <x:c r="D64" s="1" t="str">
        <x:v>synthetic_outturn</x:v>
      </x:c>
      <x:c r="E64" s="1" t="str">
        <x:v>net_income_usd</x:v>
      </x:c>
      <x:c r="F64" s="13" t="n">
        <x:v>-39976707.2136</x:v>
      </x:c>
      <x:c r="G64" s="13" t="n">
        <x:v>-39976707.2136</x:v>
      </x:c>
      <x:c r="H64" s="13" t="n">
        <x:v>0</x:v>
      </x:c>
      <x:c r="I64" s="13" t="n">
        <x:v>0</x:v>
      </x:c>
      <x:c r="J64" s="13" t="n">
        <x:v>0</x:v>
      </x:c>
      <x:c r="K64" s="13" t="n">
        <x:v>0</x:v>
      </x:c>
      <x:c r="L64" s="14" t="n">
        <x:f>G64-F64-SUM(H64:K64)</x:f>
        <x:v>0</x:v>
      </x:c>
    </x:row>
    <x:row r="65" ht="19" customHeight="1">
      <x:c r="A65" s="1" t="str">
        <x:v>base</x:v>
      </x:c>
      <x:c r="B65" s="1" t="str">
        <x:v>corporate</x:v>
      </x:c>
      <x:c r="C65" s="12" t="n">
        <x:v>2031</x:v>
      </x:c>
      <x:c r="D65" s="1" t="str">
        <x:v>synthetic_outturn</x:v>
      </x:c>
      <x:c r="E65" s="1" t="str">
        <x:v>revenue_usd</x:v>
      </x:c>
      <x:c r="F65" s="13" t="n">
        <x:v>0</x:v>
      </x:c>
      <x:c r="G65" s="13" t="n">
        <x:v>0</x:v>
      </x:c>
      <x:c r="H65" s="13" t="n">
        <x:v>0</x:v>
      </x:c>
      <x:c r="I65" s="13" t="n">
        <x:v>0</x:v>
      </x:c>
      <x:c r="J65" s="13" t="n">
        <x:v>0</x:v>
      </x:c>
      <x:c r="K65" s="13" t="n">
        <x:v>0</x:v>
      </x:c>
      <x:c r="L65" s="14" t="n">
        <x:f>G65-F65-SUM(H65:K65)</x:f>
        <x:v>0</x:v>
      </x:c>
    </x:row>
    <x:row r="66" ht="19" customHeight="1">
      <x:c r="A66" s="1" t="str">
        <x:v>base</x:v>
      </x:c>
      <x:c r="B66" s="1" t="str">
        <x:v>foundry-field</x:v>
      </x:c>
      <x:c r="C66" s="12" t="n">
        <x:v>2027</x:v>
      </x:c>
      <x:c r="D66" s="1" t="str">
        <x:v>revised</x:v>
      </x:c>
      <x:c r="E66" s="1" t="str">
        <x:v>net_income_usd</x:v>
      </x:c>
      <x:c r="F66" s="13" t="n">
        <x:v>32251583.3975</x:v>
      </x:c>
      <x:c r="G66" s="13" t="n">
        <x:v>32323175.3975</x:v>
      </x:c>
      <x:c r="H66" s="13" t="n">
        <x:v>71592</x:v>
      </x:c>
      <x:c r="I66" s="13" t="n">
        <x:v>0</x:v>
      </x:c>
      <x:c r="J66" s="13" t="n">
        <x:v>0</x:v>
      </x:c>
      <x:c r="K66" s="13" t="n">
        <x:v>0</x:v>
      </x:c>
      <x:c r="L66" s="14" t="n">
        <x:f>G66-F66-SUM(H66:K66)</x:f>
        <x:v>0</x:v>
      </x:c>
    </x:row>
    <x:row r="67" ht="19" customHeight="1">
      <x:c r="A67" s="1" t="str">
        <x:v>base</x:v>
      </x:c>
      <x:c r="B67" s="1" t="str">
        <x:v>foundry-field</x:v>
      </x:c>
      <x:c r="C67" s="12" t="n">
        <x:v>2027</x:v>
      </x:c>
      <x:c r="D67" s="1" t="str">
        <x:v>revised</x:v>
      </x:c>
      <x:c r="E67" s="1" t="str">
        <x:v>revenue_usd</x:v>
      </x:c>
      <x:c r="F67" s="13" t="n">
        <x:v>57725500</x:v>
      </x:c>
      <x:c r="G67" s="13" t="n">
        <x:v>57798100</x:v>
      </x:c>
      <x:c r="H67" s="13" t="n">
        <x:v>72600</x:v>
      </x:c>
      <x:c r="I67" s="13" t="n">
        <x:v>0</x:v>
      </x:c>
      <x:c r="J67" s="13" t="n">
        <x:v>0</x:v>
      </x:c>
      <x:c r="K67" s="13" t="n">
        <x:v>0</x:v>
      </x:c>
      <x:c r="L67" s="14" t="n">
        <x:f>G67-F67-SUM(H67:K67)</x:f>
        <x:v>0</x:v>
      </x:c>
    </x:row>
    <x:row r="68" ht="19" customHeight="1">
      <x:c r="A68" s="1" t="str">
        <x:v>base</x:v>
      </x:c>
      <x:c r="B68" s="1" t="str">
        <x:v>foundry-field</x:v>
      </x:c>
      <x:c r="C68" s="12" t="n">
        <x:v>2027</x:v>
      </x:c>
      <x:c r="D68" s="1" t="str">
        <x:v>synthetic_outturn</x:v>
      </x:c>
      <x:c r="E68" s="1" t="str">
        <x:v>net_income_usd</x:v>
      </x:c>
      <x:c r="F68" s="13" t="n">
        <x:v>32323175.3975</x:v>
      </x:c>
      <x:c r="G68" s="13" t="n">
        <x:v>31633516.731</x:v>
      </x:c>
      <x:c r="H68" s="13" t="n">
        <x:v>0</x:v>
      </x:c>
      <x:c r="I68" s="13" t="n">
        <x:v>0</x:v>
      </x:c>
      <x:c r="J68" s="13" t="n">
        <x:v>-629242</x:v>
      </x:c>
      <x:c r="K68" s="13" t="n">
        <x:v>-60416.6665</x:v>
      </x:c>
      <x:c r="L68" s="14" t="n">
        <x:f>G68-F68-SUM(H68:K68)</x:f>
        <x:v>-2.0954757928848267e-9</x:v>
      </x:c>
    </x:row>
    <x:row r="69" ht="19" customHeight="1">
      <x:c r="A69" s="1" t="str">
        <x:v>base</x:v>
      </x:c>
      <x:c r="B69" s="1" t="str">
        <x:v>foundry-field</x:v>
      </x:c>
      <x:c r="C69" s="12" t="n">
        <x:v>2027</x:v>
      </x:c>
      <x:c r="D69" s="1" t="str">
        <x:v>synthetic_outturn</x:v>
      </x:c>
      <x:c r="E69" s="1" t="str">
        <x:v>revenue_usd</x:v>
      </x:c>
      <x:c r="F69" s="13" t="n">
        <x:v>57798100</x:v>
      </x:c>
      <x:c r="G69" s="13" t="n">
        <x:v>57154350</x:v>
      </x:c>
      <x:c r="H69" s="13" t="n">
        <x:v>0</x:v>
      </x:c>
      <x:c r="I69" s="13" t="n">
        <x:v>0</x:v>
      </x:c>
      <x:c r="J69" s="13" t="n">
        <x:v>-643750</x:v>
      </x:c>
      <x:c r="K69" s="13" t="n">
        <x:v>0</x:v>
      </x:c>
      <x:c r="L69" s="14" t="n">
        <x:f>G69-F69-SUM(H69:K69)</x:f>
        <x:v>0</x:v>
      </x:c>
    </x:row>
    <x:row r="70" ht="19" customHeight="1">
      <x:c r="A70" s="1" t="str">
        <x:v>base</x:v>
      </x:c>
      <x:c r="B70" s="1" t="str">
        <x:v>foundry-field</x:v>
      </x:c>
      <x:c r="C70" s="12" t="n">
        <x:v>2028</x:v>
      </x:c>
      <x:c r="D70" s="1" t="str">
        <x:v>revised</x:v>
      </x:c>
      <x:c r="E70" s="1" t="str">
        <x:v>net_income_usd</x:v>
      </x:c>
      <x:c r="F70" s="13" t="n">
        <x:v>35928722.0644</x:v>
      </x:c>
      <x:c r="G70" s="13" t="n">
        <x:v>36264624.6244</x:v>
      </x:c>
      <x:c r="H70" s="13" t="n">
        <x:v>335902.56</x:v>
      </x:c>
      <x:c r="I70" s="13" t="n">
        <x:v>0</x:v>
      </x:c>
      <x:c r="J70" s="13" t="n">
        <x:v>0</x:v>
      </x:c>
      <x:c r="K70" s="13" t="n">
        <x:v>0</x:v>
      </x:c>
      <x:c r="L70" s="14" t="n">
        <x:f>G70-F70-SUM(H70:K70)</x:f>
        <x:v>-5.0640664994716644e-9</x:v>
      </x:c>
    </x:row>
    <x:row r="71" ht="19" customHeight="1">
      <x:c r="A71" s="1" t="str">
        <x:v>base</x:v>
      </x:c>
      <x:c r="B71" s="1" t="str">
        <x:v>foundry-field</x:v>
      </x:c>
      <x:c r="C71" s="12" t="n">
        <x:v>2028</x:v>
      </x:c>
      <x:c r="D71" s="1" t="str">
        <x:v>revised</x:v>
      </x:c>
      <x:c r="E71" s="1" t="str">
        <x:v>revenue_usd</x:v>
      </x:c>
      <x:c r="F71" s="13" t="n">
        <x:v>61277920</x:v>
      </x:c>
      <x:c r="G71" s="13" t="n">
        <x:v>61614904</x:v>
      </x:c>
      <x:c r="H71" s="13" t="n">
        <x:v>336984</x:v>
      </x:c>
      <x:c r="I71" s="13" t="n">
        <x:v>0</x:v>
      </x:c>
      <x:c r="J71" s="13" t="n">
        <x:v>0</x:v>
      </x:c>
      <x:c r="K71" s="13" t="n">
        <x:v>0</x:v>
      </x:c>
      <x:c r="L71" s="14" t="n">
        <x:f>G71-F71-SUM(H71:K71)</x:f>
        <x:v>0</x:v>
      </x:c>
    </x:row>
    <x:row r="72" ht="19" customHeight="1">
      <x:c r="A72" s="1" t="str">
        <x:v>base</x:v>
      </x:c>
      <x:c r="B72" s="1" t="str">
        <x:v>foundry-field</x:v>
      </x:c>
      <x:c r="C72" s="12" t="n">
        <x:v>2028</x:v>
      </x:c>
      <x:c r="D72" s="1" t="str">
        <x:v>synthetic_outturn</x:v>
      </x:c>
      <x:c r="E72" s="1" t="str">
        <x:v>net_income_usd</x:v>
      </x:c>
      <x:c r="F72" s="13" t="n">
        <x:v>36264624.6244</x:v>
      </x:c>
      <x:c r="G72" s="13" t="n">
        <x:v>35295674.9448</x:v>
      </x:c>
      <x:c r="H72" s="13" t="n">
        <x:v>0</x:v>
      </x:c>
      <x:c r="I72" s="13" t="n">
        <x:v>0</x:v>
      </x:c>
      <x:c r="J72" s="13" t="n">
        <x:v>-819599.68</x:v>
      </x:c>
      <x:c r="K72" s="13" t="n">
        <x:v>-149349.9996</x:v>
      </x:c>
      <x:c r="L72" s="14" t="n">
        <x:f>G72-F72-SUM(H72:K72)</x:f>
        <x:v>-3.4924596548080444e-10</x:v>
      </x:c>
    </x:row>
    <x:row r="73" ht="19" customHeight="1">
      <x:c r="A73" s="1" t="str">
        <x:v>base</x:v>
      </x:c>
      <x:c r="B73" s="1" t="str">
        <x:v>foundry-field</x:v>
      </x:c>
      <x:c r="C73" s="12" t="n">
        <x:v>2028</x:v>
      </x:c>
      <x:c r="D73" s="1" t="str">
        <x:v>synthetic_outturn</x:v>
      </x:c>
      <x:c r="E73" s="1" t="str">
        <x:v>revenue_usd</x:v>
      </x:c>
      <x:c r="F73" s="13" t="n">
        <x:v>61614904</x:v>
      </x:c>
      <x:c r="G73" s="13" t="n">
        <x:v>60775248</x:v>
      </x:c>
      <x:c r="H73" s="13" t="n">
        <x:v>0</x:v>
      </x:c>
      <x:c r="I73" s="13" t="n">
        <x:v>0</x:v>
      </x:c>
      <x:c r="J73" s="13" t="n">
        <x:v>-839656</x:v>
      </x:c>
      <x:c r="K73" s="13" t="n">
        <x:v>0</x:v>
      </x:c>
      <x:c r="L73" s="14" t="n">
        <x:f>G73-F73-SUM(H73:K73)</x:f>
        <x:v>0</x:v>
      </x:c>
    </x:row>
    <x:row r="74" ht="19" customHeight="1">
      <x:c r="A74" s="1" t="str">
        <x:v>base</x:v>
      </x:c>
      <x:c r="B74" s="1" t="str">
        <x:v>foundry-field</x:v>
      </x:c>
      <x:c r="C74" s="12" t="n">
        <x:v>2029</x:v>
      </x:c>
      <x:c r="D74" s="1" t="str">
        <x:v>revised</x:v>
      </x:c>
      <x:c r="E74" s="1" t="str">
        <x:v>net_income_usd</x:v>
      </x:c>
      <x:c r="F74" s="13" t="n">
        <x:v>46805676.4444</x:v>
      </x:c>
      <x:c r="G74" s="13" t="n">
        <x:v>47438443.1068</x:v>
      </x:c>
      <x:c r="H74" s="13" t="n">
        <x:v>632766.6624</x:v>
      </x:c>
      <x:c r="I74" s="13" t="n">
        <x:v>0</x:v>
      </x:c>
      <x:c r="J74" s="13" t="n">
        <x:v>0</x:v>
      </x:c>
      <x:c r="K74" s="13" t="n">
        <x:v>0</x:v>
      </x:c>
      <x:c r="L74" s="14" t="n">
        <x:f>G74-F74-SUM(H74:K74)</x:f>
        <x:v>-2.3283064365386963e-10</x:v>
      </x:c>
    </x:row>
    <x:row r="75" ht="19" customHeight="1">
      <x:c r="A75" s="1" t="str">
        <x:v>base</x:v>
      </x:c>
      <x:c r="B75" s="1" t="str">
        <x:v>foundry-field</x:v>
      </x:c>
      <x:c r="C75" s="12" t="n">
        <x:v>2029</x:v>
      </x:c>
      <x:c r="D75" s="1" t="str">
        <x:v>revised</x:v>
      </x:c>
      <x:c r="E75" s="1" t="str">
        <x:v>revenue_usd</x:v>
      </x:c>
      <x:c r="F75" s="13" t="n">
        <x:v>73072076.8</x:v>
      </x:c>
      <x:c r="G75" s="13" t="n">
        <x:v>73706076.16</x:v>
      </x:c>
      <x:c r="H75" s="13" t="n">
        <x:v>633999.36</x:v>
      </x:c>
      <x:c r="I75" s="13" t="n">
        <x:v>0</x:v>
      </x:c>
      <x:c r="J75" s="13" t="n">
        <x:v>0</x:v>
      </x:c>
      <x:c r="K75" s="13" t="n">
        <x:v>0</x:v>
      </x:c>
      <x:c r="L75" s="14" t="n">
        <x:f>G75-F75-SUM(H75:K75)</x:f>
        <x:v>-5.820766091346741e-10</x:v>
      </x:c>
    </x:row>
    <x:row r="76" ht="19" customHeight="1">
      <x:c r="A76" s="1" t="str">
        <x:v>base</x:v>
      </x:c>
      <x:c r="B76" s="1" t="str">
        <x:v>foundry-field</x:v>
      </x:c>
      <x:c r="C76" s="12" t="n">
        <x:v>2029</x:v>
      </x:c>
      <x:c r="D76" s="1" t="str">
        <x:v>synthetic_outturn</x:v>
      </x:c>
      <x:c r="E76" s="1" t="str">
        <x:v>net_income_usd</x:v>
      </x:c>
      <x:c r="F76" s="13" t="n">
        <x:v>47438443.1068</x:v>
      </x:c>
      <x:c r="G76" s="13" t="n">
        <x:v>46416130.94</x:v>
      </x:c>
      <x:c r="H76" s="13" t="n">
        <x:v>0</x:v>
      </x:c>
      <x:c r="I76" s="13" t="n">
        <x:v>0</x:v>
      </x:c>
      <x:c r="J76" s="13" t="n">
        <x:v>-868481.6672</x:v>
      </x:c>
      <x:c r="K76" s="13" t="n">
        <x:v>-153830.4996</x:v>
      </x:c>
      <x:c r="L76" s="14" t="n">
        <x:f>G76-F76-SUM(H76:K76)</x:f>
        <x:v>2.3283064365386963e-10</x:v>
      </x:c>
    </x:row>
    <x:row r="77" ht="19" customHeight="1">
      <x:c r="A77" s="1" t="str">
        <x:v>base</x:v>
      </x:c>
      <x:c r="B77" s="1" t="str">
        <x:v>foundry-field</x:v>
      </x:c>
      <x:c r="C77" s="12" t="n">
        <x:v>2029</x:v>
      </x:c>
      <x:c r="D77" s="1" t="str">
        <x:v>synthetic_outturn</x:v>
      </x:c>
      <x:c r="E77" s="1" t="str">
        <x:v>revenue_usd</x:v>
      </x:c>
      <x:c r="F77" s="13" t="n">
        <x:v>73706076.16</x:v>
      </x:c>
      <x:c r="G77" s="13" t="n">
        <x:v>72817383.92</x:v>
      </x:c>
      <x:c r="H77" s="13" t="n">
        <x:v>0</x:v>
      </x:c>
      <x:c r="I77" s="13" t="n">
        <x:v>0</x:v>
      </x:c>
      <x:c r="J77" s="13" t="n">
        <x:v>-888692.24</x:v>
      </x:c>
      <x:c r="K77" s="13" t="n">
        <x:v>0</x:v>
      </x:c>
      <x:c r="L77" s="14" t="n">
        <x:f>G77-F77-SUM(H77:K77)</x:f>
        <x:v>5.3551048040390015e-9</x:v>
      </x:c>
    </x:row>
    <x:row r="78" ht="19" customHeight="1">
      <x:c r="A78" s="1" t="str">
        <x:v>base</x:v>
      </x:c>
      <x:c r="B78" s="1" t="str">
        <x:v>foundry-field</x:v>
      </x:c>
      <x:c r="C78" s="12" t="n">
        <x:v>2030</x:v>
      </x:c>
      <x:c r="D78" s="1" t="str">
        <x:v>revised</x:v>
      </x:c>
      <x:c r="E78" s="1" t="str">
        <x:v>net_income_usd</x:v>
      </x:c>
      <x:c r="F78" s="13" t="n">
        <x:v>58283914.508</x:v>
      </x:c>
      <x:c r="G78" s="13" t="n">
        <x:v>59226859.8369</x:v>
      </x:c>
      <x:c r="H78" s="13" t="n">
        <x:v>942945.3289</x:v>
      </x:c>
      <x:c r="I78" s="13" t="n">
        <x:v>0</x:v>
      </x:c>
      <x:c r="J78" s="13" t="n">
        <x:v>0</x:v>
      </x:c>
      <x:c r="K78" s="13" t="n">
        <x:v>0</x:v>
      </x:c>
      <x:c r="L78" s="14" t="n">
        <x:f>G78-F78-SUM(H78:K78)</x:f>
        <x:v>1.979060471057892e-9</x:v>
      </x:c>
    </x:row>
    <x:row r="79" ht="19" customHeight="1">
      <x:c r="A79" s="1" t="str">
        <x:v>base</x:v>
      </x:c>
      <x:c r="B79" s="1" t="str">
        <x:v>foundry-field</x:v>
      </x:c>
      <x:c r="C79" s="12" t="n">
        <x:v>2030</x:v>
      </x:c>
      <x:c r="D79" s="1" t="str">
        <x:v>revised</x:v>
      </x:c>
      <x:c r="E79" s="1" t="str">
        <x:v>revenue_usd</x:v>
      </x:c>
      <x:c r="F79" s="13" t="n">
        <x:v>85476159.872</x:v>
      </x:c>
      <x:c r="G79" s="13" t="n">
        <x:v>86419955.2064</x:v>
      </x:c>
      <x:c r="H79" s="13" t="n">
        <x:v>943795.3344</x:v>
      </x:c>
      <x:c r="I79" s="13" t="n">
        <x:v>0</x:v>
      </x:c>
      <x:c r="J79" s="13" t="n">
        <x:v>0</x:v>
      </x:c>
      <x:c r="K79" s="13" t="n">
        <x:v>0</x:v>
      </x:c>
      <x:c r="L79" s="14" t="n">
        <x:f>G79-F79-SUM(H79:K79)</x:f>
        <x:v>1.30385160446167e-8</x:v>
      </x:c>
    </x:row>
    <x:row r="80" ht="19" customHeight="1">
      <x:c r="A80" s="1" t="str">
        <x:v>base</x:v>
      </x:c>
      <x:c r="B80" s="1" t="str">
        <x:v>foundry-field</x:v>
      </x:c>
      <x:c r="C80" s="12" t="n">
        <x:v>2030</x:v>
      </x:c>
      <x:c r="D80" s="1" t="str">
        <x:v>synthetic_outturn</x:v>
      </x:c>
      <x:c r="E80" s="1" t="str">
        <x:v>net_income_usd</x:v>
      </x:c>
      <x:c r="F80" s="13" t="n">
        <x:v>59226859.8369</x:v>
      </x:c>
      <x:c r="G80" s="13" t="n">
        <x:v>58207805.4878</x:v>
      </x:c>
      <x:c r="H80" s="13" t="n">
        <x:v>0</x:v>
      </x:c>
      <x:c r="I80" s="13" t="n">
        <x:v>0</x:v>
      </x:c>
      <x:c r="J80" s="13" t="n">
        <x:v>-860608.9339</x:v>
      </x:c>
      <x:c r="K80" s="13" t="n">
        <x:v>-158445.4152</x:v>
      </x:c>
      <x:c r="L80" s="14" t="n">
        <x:f>G80-F80-SUM(H80:K80)</x:f>
        <x:v>-1.1641532182693481e-9</x:v>
      </x:c>
    </x:row>
    <x:row r="81" ht="19" customHeight="1">
      <x:c r="A81" s="1" t="str">
        <x:v>base</x:v>
      </x:c>
      <x:c r="B81" s="1" t="str">
        <x:v>foundry-field</x:v>
      </x:c>
      <x:c r="C81" s="12" t="n">
        <x:v>2030</x:v>
      </x:c>
      <x:c r="D81" s="1" t="str">
        <x:v>synthetic_outturn</x:v>
      </x:c>
      <x:c r="E81" s="1" t="str">
        <x:v>revenue_usd</x:v>
      </x:c>
      <x:c r="F81" s="13" t="n">
        <x:v>86419955.2064</x:v>
      </x:c>
      <x:c r="G81" s="13" t="n">
        <x:v>85557515.2768</x:v>
      </x:c>
      <x:c r="H81" s="13" t="n">
        <x:v>0</x:v>
      </x:c>
      <x:c r="I81" s="13" t="n">
        <x:v>0</x:v>
      </x:c>
      <x:c r="J81" s="13" t="n">
        <x:v>-862439.9296</x:v>
      </x:c>
      <x:c r="K81" s="13" t="n">
        <x:v>0</x:v>
      </x:c>
      <x:c r="L81" s="14" t="n">
        <x:f>G81-F81-SUM(H81:K81)</x:f>
        <x:v>-3.4924596548080444e-10</x:v>
      </x:c>
    </x:row>
    <x:row r="82" ht="19" customHeight="1">
      <x:c r="A82" s="1" t="str">
        <x:v>base</x:v>
      </x:c>
      <x:c r="B82" s="1" t="str">
        <x:v>foundry-field</x:v>
      </x:c>
      <x:c r="C82" s="12" t="n">
        <x:v>2031</x:v>
      </x:c>
      <x:c r="D82" s="1" t="str">
        <x:v>revised</x:v>
      </x:c>
      <x:c r="E82" s="1" t="str">
        <x:v>net_income_usd</x:v>
      </x:c>
      <x:c r="F82" s="13" t="n">
        <x:v>65996736.2801</x:v>
      </x:c>
      <x:c r="G82" s="13" t="n">
        <x:v>67133003.4223</x:v>
      </x:c>
      <x:c r="H82" s="13" t="n">
        <x:v>1136267.1422</x:v>
      </x:c>
      <x:c r="I82" s="13" t="n">
        <x:v>0</x:v>
      </x:c>
      <x:c r="J82" s="13" t="n">
        <x:v>0</x:v>
      </x:c>
      <x:c r="K82" s="13" t="n">
        <x:v>0</x:v>
      </x:c>
      <x:c r="L82" s="14" t="n">
        <x:f>G82-F82-SUM(H82:K82)</x:f>
        <x:v>-6.752088665962219e-9</x:v>
      </x:c>
    </x:row>
    <x:row r="83" ht="19" customHeight="1">
      <x:c r="A83" s="1" t="str">
        <x:v>base</x:v>
      </x:c>
      <x:c r="B83" s="1" t="str">
        <x:v>foundry-field</x:v>
      </x:c>
      <x:c r="C83" s="12" t="n">
        <x:v>2031</x:v>
      </x:c>
      <x:c r="D83" s="1" t="str">
        <x:v>revised</x:v>
      </x:c>
      <x:c r="E83" s="1" t="str">
        <x:v>revenue_usd</x:v>
      </x:c>
      <x:c r="F83" s="13" t="n">
        <x:v>94055606.2668</x:v>
      </x:c>
      <x:c r="G83" s="13" t="n">
        <x:v>95191965.4147</x:v>
      </x:c>
      <x:c r="H83" s="13" t="n">
        <x:v>1136359.1479</x:v>
      </x:c>
      <x:c r="I83" s="13" t="n">
        <x:v>0</x:v>
      </x:c>
      <x:c r="J83" s="13" t="n">
        <x:v>0</x:v>
      </x:c>
      <x:c r="K83" s="13" t="n">
        <x:v>0</x:v>
      </x:c>
      <x:c r="L83" s="14" t="n">
        <x:f>G83-F83-SUM(H83:K83)</x:f>
        <x:v>2.3283064365386963e-10</x:v>
      </x:c>
    </x:row>
    <x:row r="84" ht="19" customHeight="1">
      <x:c r="A84" s="1" t="str">
        <x:v>base</x:v>
      </x:c>
      <x:c r="B84" s="1" t="str">
        <x:v>foundry-field</x:v>
      </x:c>
      <x:c r="C84" s="12" t="n">
        <x:v>2031</x:v>
      </x:c>
      <x:c r="D84" s="1" t="str">
        <x:v>synthetic_outturn</x:v>
      </x:c>
      <x:c r="E84" s="1" t="str">
        <x:v>net_income_usd</x:v>
      </x:c>
      <x:c r="F84" s="13" t="n">
        <x:v>67133003.4223</x:v>
      </x:c>
      <x:c r="G84" s="13" t="n">
        <x:v>67105711.3539</x:v>
      </x:c>
      <x:c r="H84" s="13" t="n">
        <x:v>0</x:v>
      </x:c>
      <x:c r="I84" s="13" t="n">
        <x:v>0</x:v>
      </x:c>
      <x:c r="J84" s="13" t="n">
        <x:v>135906.7088</x:v>
      </x:c>
      <x:c r="K84" s="13" t="n">
        <x:v>-163198.7772</x:v>
      </x:c>
      <x:c r="L84" s="14" t="n">
        <x:f>G84-F84-SUM(H84:K84)</x:f>
        <x:v>4.452886059880257e-9</x:v>
      </x:c>
    </x:row>
    <x:row r="85" ht="19" customHeight="1">
      <x:c r="A85" s="1" t="str">
        <x:v>base</x:v>
      </x:c>
      <x:c r="B85" s="1" t="str">
        <x:v>foundry-field</x:v>
      </x:c>
      <x:c r="C85" s="12" t="n">
        <x:v>2031</x:v>
      </x:c>
      <x:c r="D85" s="1" t="str">
        <x:v>synthetic_outturn</x:v>
      </x:c>
      <x:c r="E85" s="1" t="str">
        <x:v>revenue_usd</x:v>
      </x:c>
      <x:c r="F85" s="13" t="n">
        <x:v>95191965.4147</x:v>
      </x:c>
      <x:c r="G85" s="13" t="n">
        <x:v>95330383.8879</x:v>
      </x:c>
      <x:c r="H85" s="13" t="n">
        <x:v>0</x:v>
      </x:c>
      <x:c r="I85" s="13" t="n">
        <x:v>0</x:v>
      </x:c>
      <x:c r="J85" s="13" t="n">
        <x:v>138418.4732</x:v>
      </x:c>
      <x:c r="K85" s="13" t="n">
        <x:v>0</x:v>
      </x:c>
      <x:c r="L85" s="14" t="n">
        <x:f>G85-F85-SUM(H85:K85)</x:f>
        <x:v>-6.6356733441352844e-9</x:v>
      </x:c>
    </x:row>
    <x:row r="86" ht="19" customHeight="1">
      <x:c r="A86" s="1" t="str">
        <x:v>base</x:v>
      </x:c>
      <x:c r="B86" s="1" t="str">
        <x:v>project-cradle</x:v>
      </x:c>
      <x:c r="C86" s="12" t="n">
        <x:v>2027</x:v>
      </x:c>
      <x:c r="D86" s="1" t="str">
        <x:v>revised</x:v>
      </x:c>
      <x:c r="E86" s="1" t="str">
        <x:v>net_income_usd</x:v>
      </x:c>
      <x:c r="F86" s="13" t="n">
        <x:v>-1945596.6584</x:v>
      </x:c>
      <x:c r="G86" s="13" t="n">
        <x:v>-1945596.6584</x:v>
      </x:c>
      <x:c r="H86" s="13" t="n">
        <x:v>0</x:v>
      </x:c>
      <x:c r="I86" s="13" t="n">
        <x:v>0</x:v>
      </x:c>
      <x:c r="J86" s="13" t="n">
        <x:v>0</x:v>
      </x:c>
      <x:c r="K86" s="13" t="n">
        <x:v>0</x:v>
      </x:c>
      <x:c r="L86" s="14" t="n">
        <x:f>G86-F86-SUM(H86:K86)</x:f>
        <x:v>0</x:v>
      </x:c>
    </x:row>
    <x:row r="87" ht="19" customHeight="1">
      <x:c r="A87" s="1" t="str">
        <x:v>base</x:v>
      </x:c>
      <x:c r="B87" s="1" t="str">
        <x:v>project-cradle</x:v>
      </x:c>
      <x:c r="C87" s="12" t="n">
        <x:v>2027</x:v>
      </x:c>
      <x:c r="D87" s="1" t="str">
        <x:v>revised</x:v>
      </x:c>
      <x:c r="E87" s="1" t="str">
        <x:v>revenue_usd</x:v>
      </x:c>
      <x:c r="F87" s="13" t="n">
        <x:v>1007059.68</x:v>
      </x:c>
      <x:c r="G87" s="13" t="n">
        <x:v>1007059.68</x:v>
      </x:c>
      <x:c r="H87" s="13" t="n">
        <x:v>0</x:v>
      </x:c>
      <x:c r="I87" s="13" t="n">
        <x:v>0</x:v>
      </x:c>
      <x:c r="J87" s="13" t="n">
        <x:v>0</x:v>
      </x:c>
      <x:c r="K87" s="13" t="n">
        <x:v>0</x:v>
      </x:c>
      <x:c r="L87" s="14" t="n">
        <x:f>G87-F87-SUM(H87:K87)</x:f>
        <x:v>0</x:v>
      </x:c>
    </x:row>
    <x:row r="88" ht="19" customHeight="1">
      <x:c r="A88" s="1" t="str">
        <x:v>base</x:v>
      </x:c>
      <x:c r="B88" s="1" t="str">
        <x:v>project-cradle</x:v>
      </x:c>
      <x:c r="C88" s="12" t="n">
        <x:v>2027</x:v>
      </x:c>
      <x:c r="D88" s="1" t="str">
        <x:v>synthetic_outturn</x:v>
      </x:c>
      <x:c r="E88" s="1" t="str">
        <x:v>net_income_usd</x:v>
      </x:c>
      <x:c r="F88" s="13" t="n">
        <x:v>-1945596.6584</x:v>
      </x:c>
      <x:c r="G88" s="13" t="n">
        <x:v>-1945596.6584</x:v>
      </x:c>
      <x:c r="H88" s="13" t="n">
        <x:v>0</x:v>
      </x:c>
      <x:c r="I88" s="13" t="n">
        <x:v>0</x:v>
      </x:c>
      <x:c r="J88" s="13" t="n">
        <x:v>0</x:v>
      </x:c>
      <x:c r="K88" s="13" t="n">
        <x:v>0</x:v>
      </x:c>
      <x:c r="L88" s="14" t="n">
        <x:f>G88-F88-SUM(H88:K88)</x:f>
        <x:v>0</x:v>
      </x:c>
    </x:row>
    <x:row r="89" ht="19" customHeight="1">
      <x:c r="A89" s="1" t="str">
        <x:v>base</x:v>
      </x:c>
      <x:c r="B89" s="1" t="str">
        <x:v>project-cradle</x:v>
      </x:c>
      <x:c r="C89" s="12" t="n">
        <x:v>2027</x:v>
      </x:c>
      <x:c r="D89" s="1" t="str">
        <x:v>synthetic_outturn</x:v>
      </x:c>
      <x:c r="E89" s="1" t="str">
        <x:v>revenue_usd</x:v>
      </x:c>
      <x:c r="F89" s="13" t="n">
        <x:v>1007059.68</x:v>
      </x:c>
      <x:c r="G89" s="13" t="n">
        <x:v>1007059.68</x:v>
      </x:c>
      <x:c r="H89" s="13" t="n">
        <x:v>0</x:v>
      </x:c>
      <x:c r="I89" s="13" t="n">
        <x:v>0</x:v>
      </x:c>
      <x:c r="J89" s="13" t="n">
        <x:v>0</x:v>
      </x:c>
      <x:c r="K89" s="13" t="n">
        <x:v>0</x:v>
      </x:c>
      <x:c r="L89" s="14" t="n">
        <x:f>G89-F89-SUM(H89:K89)</x:f>
        <x:v>0</x:v>
      </x:c>
    </x:row>
    <x:row r="90" ht="19" customHeight="1">
      <x:c r="A90" s="1" t="str">
        <x:v>base</x:v>
      </x:c>
      <x:c r="B90" s="1" t="str">
        <x:v>project-cradle</x:v>
      </x:c>
      <x:c r="C90" s="12" t="n">
        <x:v>2028</x:v>
      </x:c>
      <x:c r="D90" s="1" t="str">
        <x:v>revised</x:v>
      </x:c>
      <x:c r="E90" s="1" t="str">
        <x:v>net_income_usd</x:v>
      </x:c>
      <x:c r="F90" s="13" t="n">
        <x:v>-2032246.3166</x:v>
      </x:c>
      <x:c r="G90" s="13" t="n">
        <x:v>-2032246.3166</x:v>
      </x:c>
      <x:c r="H90" s="13" t="n">
        <x:v>0</x:v>
      </x:c>
      <x:c r="I90" s="13" t="n">
        <x:v>0</x:v>
      </x:c>
      <x:c r="J90" s="13" t="n">
        <x:v>0</x:v>
      </x:c>
      <x:c r="K90" s="13" t="n">
        <x:v>0</x:v>
      </x:c>
      <x:c r="L90" s="14" t="n">
        <x:f>G90-F90-SUM(H90:K90)</x:f>
        <x:v>0</x:v>
      </x:c>
    </x:row>
    <x:row r="91" ht="19" customHeight="1">
      <x:c r="A91" s="1" t="str">
        <x:v>base</x:v>
      </x:c>
      <x:c r="B91" s="1" t="str">
        <x:v>project-cradle</x:v>
      </x:c>
      <x:c r="C91" s="12" t="n">
        <x:v>2028</x:v>
      </x:c>
      <x:c r="D91" s="1" t="str">
        <x:v>revised</x:v>
      </x:c>
      <x:c r="E91" s="1" t="str">
        <x:v>revenue_usd</x:v>
      </x:c>
      <x:c r="F91" s="13" t="n">
        <x:v>1210112.64</x:v>
      </x:c>
      <x:c r="G91" s="13" t="n">
        <x:v>1210112.64</x:v>
      </x:c>
      <x:c r="H91" s="13" t="n">
        <x:v>0</x:v>
      </x:c>
      <x:c r="I91" s="13" t="n">
        <x:v>0</x:v>
      </x:c>
      <x:c r="J91" s="13" t="n">
        <x:v>0</x:v>
      </x:c>
      <x:c r="K91" s="13" t="n">
        <x:v>0</x:v>
      </x:c>
      <x:c r="L91" s="14" t="n">
        <x:f>G91-F91-SUM(H91:K91)</x:f>
        <x:v>0</x:v>
      </x:c>
    </x:row>
    <x:row r="92" ht="19" customHeight="1">
      <x:c r="A92" s="1" t="str">
        <x:v>base</x:v>
      </x:c>
      <x:c r="B92" s="1" t="str">
        <x:v>project-cradle</x:v>
      </x:c>
      <x:c r="C92" s="12" t="n">
        <x:v>2028</x:v>
      </x:c>
      <x:c r="D92" s="1" t="str">
        <x:v>synthetic_outturn</x:v>
      </x:c>
      <x:c r="E92" s="1" t="str">
        <x:v>net_income_usd</x:v>
      </x:c>
      <x:c r="F92" s="13" t="n">
        <x:v>-2032246.3166</x:v>
      </x:c>
      <x:c r="G92" s="13" t="n">
        <x:v>-2032246.3166</x:v>
      </x:c>
      <x:c r="H92" s="13" t="n">
        <x:v>0</x:v>
      </x:c>
      <x:c r="I92" s="13" t="n">
        <x:v>0</x:v>
      </x:c>
      <x:c r="J92" s="13" t="n">
        <x:v>0</x:v>
      </x:c>
      <x:c r="K92" s="13" t="n">
        <x:v>0</x:v>
      </x:c>
      <x:c r="L92" s="14" t="n">
        <x:f>G92-F92-SUM(H92:K92)</x:f>
        <x:v>0</x:v>
      </x:c>
    </x:row>
    <x:row r="93" ht="19" customHeight="1">
      <x:c r="A93" s="1" t="str">
        <x:v>base</x:v>
      </x:c>
      <x:c r="B93" s="1" t="str">
        <x:v>project-cradle</x:v>
      </x:c>
      <x:c r="C93" s="12" t="n">
        <x:v>2028</x:v>
      </x:c>
      <x:c r="D93" s="1" t="str">
        <x:v>synthetic_outturn</x:v>
      </x:c>
      <x:c r="E93" s="1" t="str">
        <x:v>revenue_usd</x:v>
      </x:c>
      <x:c r="F93" s="13" t="n">
        <x:v>1210112.64</x:v>
      </x:c>
      <x:c r="G93" s="13" t="n">
        <x:v>1210112.64</x:v>
      </x:c>
      <x:c r="H93" s="13" t="n">
        <x:v>0</x:v>
      </x:c>
      <x:c r="I93" s="13" t="n">
        <x:v>0</x:v>
      </x:c>
      <x:c r="J93" s="13" t="n">
        <x:v>0</x:v>
      </x:c>
      <x:c r="K93" s="13" t="n">
        <x:v>0</x:v>
      </x:c>
      <x:c r="L93" s="14" t="n">
        <x:f>G93-F93-SUM(H93:K93)</x:f>
        <x:v>0</x:v>
      </x:c>
    </x:row>
    <x:row r="94" ht="19" customHeight="1">
      <x:c r="A94" s="1" t="str">
        <x:v>base</x:v>
      </x:c>
      <x:c r="B94" s="1" t="str">
        <x:v>project-cradle</x:v>
      </x:c>
      <x:c r="C94" s="12" t="n">
        <x:v>2029</x:v>
      </x:c>
      <x:c r="D94" s="1" t="str">
        <x:v>revised</x:v>
      </x:c>
      <x:c r="E94" s="1" t="str">
        <x:v>net_income_usd</x:v>
      </x:c>
      <x:c r="F94" s="13" t="n">
        <x:v>-2194060.6604</x:v>
      </x:c>
      <x:c r="G94" s="13" t="n">
        <x:v>-2194060.6604</x:v>
      </x:c>
      <x:c r="H94" s="13" t="n">
        <x:v>0</x:v>
      </x:c>
      <x:c r="I94" s="13" t="n">
        <x:v>0</x:v>
      </x:c>
      <x:c r="J94" s="13" t="n">
        <x:v>0</x:v>
      </x:c>
      <x:c r="K94" s="13" t="n">
        <x:v>0</x:v>
      </x:c>
      <x:c r="L94" s="14" t="n">
        <x:f>G94-F94-SUM(H94:K94)</x:f>
        <x:v>0</x:v>
      </x:c>
    </x:row>
    <x:row r="95" ht="19" customHeight="1">
      <x:c r="A95" s="1" t="str">
        <x:v>base</x:v>
      </x:c>
      <x:c r="B95" s="1" t="str">
        <x:v>project-cradle</x:v>
      </x:c>
      <x:c r="C95" s="12" t="n">
        <x:v>2029</x:v>
      </x:c>
      <x:c r="D95" s="1" t="str">
        <x:v>revised</x:v>
      </x:c>
      <x:c r="E95" s="1" t="str">
        <x:v>revenue_usd</x:v>
      </x:c>
      <x:c r="F95" s="13" t="n">
        <x:v>1111651.2</x:v>
      </x:c>
      <x:c r="G95" s="13" t="n">
        <x:v>1111651.2</x:v>
      </x:c>
      <x:c r="H95" s="13" t="n">
        <x:v>0</x:v>
      </x:c>
      <x:c r="I95" s="13" t="n">
        <x:v>0</x:v>
      </x:c>
      <x:c r="J95" s="13" t="n">
        <x:v>0</x:v>
      </x:c>
      <x:c r="K95" s="13" t="n">
        <x:v>0</x:v>
      </x:c>
      <x:c r="L95" s="14" t="n">
        <x:f>G95-F95-SUM(H95:K95)</x:f>
        <x:v>0</x:v>
      </x:c>
    </x:row>
    <x:row r="96" ht="19" customHeight="1">
      <x:c r="A96" s="1" t="str">
        <x:v>base</x:v>
      </x:c>
      <x:c r="B96" s="1" t="str">
        <x:v>project-cradle</x:v>
      </x:c>
      <x:c r="C96" s="12" t="n">
        <x:v>2029</x:v>
      </x:c>
      <x:c r="D96" s="1" t="str">
        <x:v>synthetic_outturn</x:v>
      </x:c>
      <x:c r="E96" s="1" t="str">
        <x:v>net_income_usd</x:v>
      </x:c>
      <x:c r="F96" s="13" t="n">
        <x:v>-2194060.6604</x:v>
      </x:c>
      <x:c r="G96" s="13" t="n">
        <x:v>-2194060.6604</x:v>
      </x:c>
      <x:c r="H96" s="13" t="n">
        <x:v>0</x:v>
      </x:c>
      <x:c r="I96" s="13" t="n">
        <x:v>0</x:v>
      </x:c>
      <x:c r="J96" s="13" t="n">
        <x:v>0</x:v>
      </x:c>
      <x:c r="K96" s="13" t="n">
        <x:v>0</x:v>
      </x:c>
      <x:c r="L96" s="14" t="n">
        <x:f>G96-F96-SUM(H96:K96)</x:f>
        <x:v>0</x:v>
      </x:c>
    </x:row>
    <x:row r="97" ht="19" customHeight="1">
      <x:c r="A97" s="1" t="str">
        <x:v>base</x:v>
      </x:c>
      <x:c r="B97" s="1" t="str">
        <x:v>project-cradle</x:v>
      </x:c>
      <x:c r="C97" s="12" t="n">
        <x:v>2029</x:v>
      </x:c>
      <x:c r="D97" s="1" t="str">
        <x:v>synthetic_outturn</x:v>
      </x:c>
      <x:c r="E97" s="1" t="str">
        <x:v>revenue_usd</x:v>
      </x:c>
      <x:c r="F97" s="13" t="n">
        <x:v>1111651.2</x:v>
      </x:c>
      <x:c r="G97" s="13" t="n">
        <x:v>1111651.2</x:v>
      </x:c>
      <x:c r="H97" s="13" t="n">
        <x:v>0</x:v>
      </x:c>
      <x:c r="I97" s="13" t="n">
        <x:v>0</x:v>
      </x:c>
      <x:c r="J97" s="13" t="n">
        <x:v>0</x:v>
      </x:c>
      <x:c r="K97" s="13" t="n">
        <x:v>0</x:v>
      </x:c>
      <x:c r="L97" s="14" t="n">
        <x:f>G97-F97-SUM(H97:K97)</x:f>
        <x:v>0</x:v>
      </x:c>
    </x:row>
    <x:row r="98" ht="19" customHeight="1">
      <x:c r="A98" s="1" t="str">
        <x:v>base</x:v>
      </x:c>
      <x:c r="B98" s="1" t="str">
        <x:v>project-cradle</x:v>
      </x:c>
      <x:c r="C98" s="12" t="n">
        <x:v>2030</x:v>
      </x:c>
      <x:c r="D98" s="1" t="str">
        <x:v>revised</x:v>
      </x:c>
      <x:c r="E98" s="1" t="str">
        <x:v>net_income_usd</x:v>
      </x:c>
      <x:c r="F98" s="13" t="n">
        <x:v>-2255718.2184</x:v>
      </x:c>
      <x:c r="G98" s="13" t="n">
        <x:v>-2255718.2184</x:v>
      </x:c>
      <x:c r="H98" s="13" t="n">
        <x:v>0</x:v>
      </x:c>
      <x:c r="I98" s="13" t="n">
        <x:v>0</x:v>
      </x:c>
      <x:c r="J98" s="13" t="n">
        <x:v>0</x:v>
      </x:c>
      <x:c r="K98" s="13" t="n">
        <x:v>0</x:v>
      </x:c>
      <x:c r="L98" s="14" t="n">
        <x:f>G98-F98-SUM(H98:K98)</x:f>
        <x:v>0</x:v>
      </x:c>
    </x:row>
    <x:row r="99" ht="19" customHeight="1">
      <x:c r="A99" s="1" t="str">
        <x:v>base</x:v>
      </x:c>
      <x:c r="B99" s="1" t="str">
        <x:v>project-cradle</x:v>
      </x:c>
      <x:c r="C99" s="12" t="n">
        <x:v>2030</x:v>
      </x:c>
      <x:c r="D99" s="1" t="str">
        <x:v>revised</x:v>
      </x:c>
      <x:c r="E99" s="1" t="str">
        <x:v>revenue_usd</x:v>
      </x:c>
      <x:c r="F99" s="13" t="n">
        <x:v>1111651.2</x:v>
      </x:c>
      <x:c r="G99" s="13" t="n">
        <x:v>1111651.2</x:v>
      </x:c>
      <x:c r="H99" s="13" t="n">
        <x:v>0</x:v>
      </x:c>
      <x:c r="I99" s="13" t="n">
        <x:v>0</x:v>
      </x:c>
      <x:c r="J99" s="13" t="n">
        <x:v>0</x:v>
      </x:c>
      <x:c r="K99" s="13" t="n">
        <x:v>0</x:v>
      </x:c>
      <x:c r="L99" s="14" t="n">
        <x:f>G99-F99-SUM(H99:K99)</x:f>
        <x:v>0</x:v>
      </x:c>
    </x:row>
    <x:row r="100" ht="19" customHeight="1">
      <x:c r="A100" s="1" t="str">
        <x:v>base</x:v>
      </x:c>
      <x:c r="B100" s="1" t="str">
        <x:v>project-cradle</x:v>
      </x:c>
      <x:c r="C100" s="12" t="n">
        <x:v>2030</x:v>
      </x:c>
      <x:c r="D100" s="1" t="str">
        <x:v>synthetic_outturn</x:v>
      </x:c>
      <x:c r="E100" s="1" t="str">
        <x:v>net_income_usd</x:v>
      </x:c>
      <x:c r="F100" s="13" t="n">
        <x:v>-2255718.2184</x:v>
      </x:c>
      <x:c r="G100" s="13" t="n">
        <x:v>-2255718.2184</x:v>
      </x:c>
      <x:c r="H100" s="13" t="n">
        <x:v>0</x:v>
      </x:c>
      <x:c r="I100" s="13" t="n">
        <x:v>0</x:v>
      </x:c>
      <x:c r="J100" s="13" t="n">
        <x:v>0</x:v>
      </x:c>
      <x:c r="K100" s="13" t="n">
        <x:v>0</x:v>
      </x:c>
      <x:c r="L100" s="14" t="n">
        <x:f>G100-F100-SUM(H100:K100)</x:f>
        <x:v>0</x:v>
      </x:c>
    </x:row>
    <x:row r="101" ht="19" customHeight="1">
      <x:c r="A101" s="1" t="str">
        <x:v>base</x:v>
      </x:c>
      <x:c r="B101" s="1" t="str">
        <x:v>project-cradle</x:v>
      </x:c>
      <x:c r="C101" s="12" t="n">
        <x:v>2030</x:v>
      </x:c>
      <x:c r="D101" s="1" t="str">
        <x:v>synthetic_outturn</x:v>
      </x:c>
      <x:c r="E101" s="1" t="str">
        <x:v>revenue_usd</x:v>
      </x:c>
      <x:c r="F101" s="13" t="n">
        <x:v>1111651.2</x:v>
      </x:c>
      <x:c r="G101" s="13" t="n">
        <x:v>1111651.2</x:v>
      </x:c>
      <x:c r="H101" s="13" t="n">
        <x:v>0</x:v>
      </x:c>
      <x:c r="I101" s="13" t="n">
        <x:v>0</x:v>
      </x:c>
      <x:c r="J101" s="13" t="n">
        <x:v>0</x:v>
      </x:c>
      <x:c r="K101" s="13" t="n">
        <x:v>0</x:v>
      </x:c>
      <x:c r="L101" s="14" t="n">
        <x:f>G101-F101-SUM(H101:K101)</x:f>
        <x:v>0</x:v>
      </x:c>
    </x:row>
    <x:row r="102" ht="19" customHeight="1">
      <x:c r="A102" s="1" t="str">
        <x:v>base</x:v>
      </x:c>
      <x:c r="B102" s="1" t="str">
        <x:v>project-cradle</x:v>
      </x:c>
      <x:c r="C102" s="12" t="n">
        <x:v>2031</x:v>
      </x:c>
      <x:c r="D102" s="1" t="str">
        <x:v>revised</x:v>
      </x:c>
      <x:c r="E102" s="1" t="str">
        <x:v>net_income_usd</x:v>
      </x:c>
      <x:c r="F102" s="13" t="n">
        <x:v>-2271590.0683</x:v>
      </x:c>
      <x:c r="G102" s="13" t="n">
        <x:v>-2271590.0683</x:v>
      </x:c>
      <x:c r="H102" s="13" t="n">
        <x:v>0</x:v>
      </x:c>
      <x:c r="I102" s="13" t="n">
        <x:v>0</x:v>
      </x:c>
      <x:c r="J102" s="13" t="n">
        <x:v>0</x:v>
      </x:c>
      <x:c r="K102" s="13" t="n">
        <x:v>0</x:v>
      </x:c>
      <x:c r="L102" s="14" t="n">
        <x:f>G102-F102-SUM(H102:K102)</x:f>
        <x:v>0</x:v>
      </x:c>
    </x:row>
    <x:row r="103" ht="19" customHeight="1">
      <x:c r="A103" s="1" t="str">
        <x:v>base</x:v>
      </x:c>
      <x:c r="B103" s="1" t="str">
        <x:v>project-cradle</x:v>
      </x:c>
      <x:c r="C103" s="12" t="n">
        <x:v>2031</x:v>
      </x:c>
      <x:c r="D103" s="1" t="str">
        <x:v>revised</x:v>
      </x:c>
      <x:c r="E103" s="1" t="str">
        <x:v>revenue_usd</x:v>
      </x:c>
      <x:c r="F103" s="13" t="n">
        <x:v>1211411.52</x:v>
      </x:c>
      <x:c r="G103" s="13" t="n">
        <x:v>1211411.52</x:v>
      </x:c>
      <x:c r="H103" s="13" t="n">
        <x:v>0</x:v>
      </x:c>
      <x:c r="I103" s="13" t="n">
        <x:v>0</x:v>
      </x:c>
      <x:c r="J103" s="13" t="n">
        <x:v>0</x:v>
      </x:c>
      <x:c r="K103" s="13" t="n">
        <x:v>0</x:v>
      </x:c>
      <x:c r="L103" s="14" t="n">
        <x:f>G103-F103-SUM(H103:K103)</x:f>
        <x:v>0</x:v>
      </x:c>
    </x:row>
    <x:row r="104" ht="19" customHeight="1">
      <x:c r="A104" s="1" t="str">
        <x:v>base</x:v>
      </x:c>
      <x:c r="B104" s="1" t="str">
        <x:v>project-cradle</x:v>
      </x:c>
      <x:c r="C104" s="12" t="n">
        <x:v>2031</x:v>
      </x:c>
      <x:c r="D104" s="1" t="str">
        <x:v>synthetic_outturn</x:v>
      </x:c>
      <x:c r="E104" s="1" t="str">
        <x:v>net_income_usd</x:v>
      </x:c>
      <x:c r="F104" s="13" t="n">
        <x:v>-2271590.0683</x:v>
      </x:c>
      <x:c r="G104" s="13" t="n">
        <x:v>-2271590.0683</x:v>
      </x:c>
      <x:c r="H104" s="13" t="n">
        <x:v>0</x:v>
      </x:c>
      <x:c r="I104" s="13" t="n">
        <x:v>0</x:v>
      </x:c>
      <x:c r="J104" s="13" t="n">
        <x:v>0</x:v>
      </x:c>
      <x:c r="K104" s="13" t="n">
        <x:v>0</x:v>
      </x:c>
      <x:c r="L104" s="14" t="n">
        <x:f>G104-F104-SUM(H104:K104)</x:f>
        <x:v>0</x:v>
      </x:c>
    </x:row>
    <x:row r="105" ht="19" customHeight="1">
      <x:c r="A105" s="1" t="str">
        <x:v>base</x:v>
      </x:c>
      <x:c r="B105" s="1" t="str">
        <x:v>project-cradle</x:v>
      </x:c>
      <x:c r="C105" s="12" t="n">
        <x:v>2031</x:v>
      </x:c>
      <x:c r="D105" s="1" t="str">
        <x:v>synthetic_outturn</x:v>
      </x:c>
      <x:c r="E105" s="1" t="str">
        <x:v>revenue_usd</x:v>
      </x:c>
      <x:c r="F105" s="13" t="n">
        <x:v>1211411.52</x:v>
      </x:c>
      <x:c r="G105" s="13" t="n">
        <x:v>1211411.52</x:v>
      </x:c>
      <x:c r="H105" s="13" t="n">
        <x:v>0</x:v>
      </x:c>
      <x:c r="I105" s="13" t="n">
        <x:v>0</x:v>
      </x:c>
      <x:c r="J105" s="13" t="n">
        <x:v>0</x:v>
      </x:c>
      <x:c r="K105" s="13" t="n">
        <x:v>0</x:v>
      </x:c>
      <x:c r="L105" s="14" t="n">
        <x:f>G105-F105-SUM(H105:K105)</x:f>
        <x:v>0</x:v>
      </x:c>
    </x:row>
    <x:row r="106" ht="19" customHeight="1">
      <x:c r="A106" s="1" t="str">
        <x:v>base</x:v>
      </x:c>
      <x:c r="B106" s="1" t="str">
        <x:v>willow</x:v>
      </x:c>
      <x:c r="C106" s="12" t="n">
        <x:v>2027</x:v>
      </x:c>
      <x:c r="D106" s="1" t="str">
        <x:v>revised</x:v>
      </x:c>
      <x:c r="E106" s="1" t="str">
        <x:v>net_income_usd</x:v>
      </x:c>
      <x:c r="F106" s="13" t="n">
        <x:v>-3947000</x:v>
      </x:c>
      <x:c r="G106" s="13" t="n">
        <x:v>-3947000</x:v>
      </x:c>
      <x:c r="H106" s="13" t="n">
        <x:v>0</x:v>
      </x:c>
      <x:c r="I106" s="13" t="n">
        <x:v>0</x:v>
      </x:c>
      <x:c r="J106" s="13" t="n">
        <x:v>0</x:v>
      </x:c>
      <x:c r="K106" s="13" t="n">
        <x:v>0</x:v>
      </x:c>
      <x:c r="L106" s="14" t="n">
        <x:f>G106-F106-SUM(H106:K106)</x:f>
        <x:v>0</x:v>
      </x:c>
    </x:row>
    <x:row r="107" ht="19" customHeight="1">
      <x:c r="A107" s="1" t="str">
        <x:v>base</x:v>
      </x:c>
      <x:c r="B107" s="1" t="str">
        <x:v>willow</x:v>
      </x:c>
      <x:c r="C107" s="12" t="n">
        <x:v>2027</x:v>
      </x:c>
      <x:c r="D107" s="1" t="str">
        <x:v>revised</x:v>
      </x:c>
      <x:c r="E107" s="1" t="str">
        <x:v>revenue_usd</x:v>
      </x:c>
      <x:c r="F107" s="13" t="n">
        <x:v>0</x:v>
      </x:c>
      <x:c r="G107" s="13" t="n">
        <x:v>0</x:v>
      </x:c>
      <x:c r="H107" s="13" t="n">
        <x:v>0</x:v>
      </x:c>
      <x:c r="I107" s="13" t="n">
        <x:v>0</x:v>
      </x:c>
      <x:c r="J107" s="13" t="n">
        <x:v>0</x:v>
      </x:c>
      <x:c r="K107" s="13" t="n">
        <x:v>0</x:v>
      </x:c>
      <x:c r="L107" s="14" t="n">
        <x:f>G107-F107-SUM(H107:K107)</x:f>
        <x:v>0</x:v>
      </x:c>
    </x:row>
    <x:row r="108" ht="19" customHeight="1">
      <x:c r="A108" s="1" t="str">
        <x:v>base</x:v>
      </x:c>
      <x:c r="B108" s="1" t="str">
        <x:v>willow</x:v>
      </x:c>
      <x:c r="C108" s="12" t="n">
        <x:v>2027</x:v>
      </x:c>
      <x:c r="D108" s="1" t="str">
        <x:v>synthetic_outturn</x:v>
      </x:c>
      <x:c r="E108" s="1" t="str">
        <x:v>net_income_usd</x:v>
      </x:c>
      <x:c r="F108" s="13" t="n">
        <x:v>-3947000</x:v>
      </x:c>
      <x:c r="G108" s="13" t="n">
        <x:v>-3947000</x:v>
      </x:c>
      <x:c r="H108" s="13" t="n">
        <x:v>0</x:v>
      </x:c>
      <x:c r="I108" s="13" t="n">
        <x:v>0</x:v>
      </x:c>
      <x:c r="J108" s="13" t="n">
        <x:v>0</x:v>
      </x:c>
      <x:c r="K108" s="13" t="n">
        <x:v>0</x:v>
      </x:c>
      <x:c r="L108" s="14" t="n">
        <x:f>G108-F108-SUM(H108:K108)</x:f>
        <x:v>0</x:v>
      </x:c>
    </x:row>
    <x:row r="109" ht="19" customHeight="1">
      <x:c r="A109" s="1" t="str">
        <x:v>base</x:v>
      </x:c>
      <x:c r="B109" s="1" t="str">
        <x:v>willow</x:v>
      </x:c>
      <x:c r="C109" s="12" t="n">
        <x:v>2027</x:v>
      </x:c>
      <x:c r="D109" s="1" t="str">
        <x:v>synthetic_outturn</x:v>
      </x:c>
      <x:c r="E109" s="1" t="str">
        <x:v>revenue_usd</x:v>
      </x:c>
      <x:c r="F109" s="13" t="n">
        <x:v>0</x:v>
      </x:c>
      <x:c r="G109" s="13" t="n">
        <x:v>0</x:v>
      </x:c>
      <x:c r="H109" s="13" t="n">
        <x:v>0</x:v>
      </x:c>
      <x:c r="I109" s="13" t="n">
        <x:v>0</x:v>
      </x:c>
      <x:c r="J109" s="13" t="n">
        <x:v>0</x:v>
      </x:c>
      <x:c r="K109" s="13" t="n">
        <x:v>0</x:v>
      </x:c>
      <x:c r="L109" s="14" t="n">
        <x:f>G109-F109-SUM(H109:K109)</x:f>
        <x:v>0</x:v>
      </x:c>
    </x:row>
    <x:row r="110" ht="19" customHeight="1">
      <x:c r="A110" s="1" t="str">
        <x:v>base</x:v>
      </x:c>
      <x:c r="B110" s="1" t="str">
        <x:v>willow</x:v>
      </x:c>
      <x:c r="C110" s="12" t="n">
        <x:v>2028</x:v>
      </x:c>
      <x:c r="D110" s="1" t="str">
        <x:v>revised</x:v>
      </x:c>
      <x:c r="E110" s="1" t="str">
        <x:v>net_income_usd</x:v>
      </x:c>
      <x:c r="F110" s="13" t="n">
        <x:v>-3782300</x:v>
      </x:c>
      <x:c r="G110" s="13" t="n">
        <x:v>-3782300</x:v>
      </x:c>
      <x:c r="H110" s="13" t="n">
        <x:v>0</x:v>
      </x:c>
      <x:c r="I110" s="13" t="n">
        <x:v>0</x:v>
      </x:c>
      <x:c r="J110" s="13" t="n">
        <x:v>0</x:v>
      </x:c>
      <x:c r="K110" s="13" t="n">
        <x:v>0</x:v>
      </x:c>
      <x:c r="L110" s="14" t="n">
        <x:f>G110-F110-SUM(H110:K110)</x:f>
        <x:v>0</x:v>
      </x:c>
    </x:row>
    <x:row r="111" ht="19" customHeight="1">
      <x:c r="A111" s="1" t="str">
        <x:v>base</x:v>
      </x:c>
      <x:c r="B111" s="1" t="str">
        <x:v>willow</x:v>
      </x:c>
      <x:c r="C111" s="12" t="n">
        <x:v>2028</x:v>
      </x:c>
      <x:c r="D111" s="1" t="str">
        <x:v>revised</x:v>
      </x:c>
      <x:c r="E111" s="1" t="str">
        <x:v>revenue_usd</x:v>
      </x:c>
      <x:c r="F111" s="13" t="n">
        <x:v>0</x:v>
      </x:c>
      <x:c r="G111" s="13" t="n">
        <x:v>0</x:v>
      </x:c>
      <x:c r="H111" s="13" t="n">
        <x:v>0</x:v>
      </x:c>
      <x:c r="I111" s="13" t="n">
        <x:v>0</x:v>
      </x:c>
      <x:c r="J111" s="13" t="n">
        <x:v>0</x:v>
      </x:c>
      <x:c r="K111" s="13" t="n">
        <x:v>0</x:v>
      </x:c>
      <x:c r="L111" s="14" t="n">
        <x:f>G111-F111-SUM(H111:K111)</x:f>
        <x:v>0</x:v>
      </x:c>
    </x:row>
    <x:row r="112" ht="19" customHeight="1">
      <x:c r="A112" s="1" t="str">
        <x:v>base</x:v>
      </x:c>
      <x:c r="B112" s="1" t="str">
        <x:v>willow</x:v>
      </x:c>
      <x:c r="C112" s="12" t="n">
        <x:v>2028</x:v>
      </x:c>
      <x:c r="D112" s="1" t="str">
        <x:v>synthetic_outturn</x:v>
      </x:c>
      <x:c r="E112" s="1" t="str">
        <x:v>net_income_usd</x:v>
      </x:c>
      <x:c r="F112" s="13" t="n">
        <x:v>-3782300</x:v>
      </x:c>
      <x:c r="G112" s="13" t="n">
        <x:v>-3782300</x:v>
      </x:c>
      <x:c r="H112" s="13" t="n">
        <x:v>0</x:v>
      </x:c>
      <x:c r="I112" s="13" t="n">
        <x:v>0</x:v>
      </x:c>
      <x:c r="J112" s="13" t="n">
        <x:v>0</x:v>
      </x:c>
      <x:c r="K112" s="13" t="n">
        <x:v>0</x:v>
      </x:c>
      <x:c r="L112" s="14" t="n">
        <x:f>G112-F112-SUM(H112:K112)</x:f>
        <x:v>0</x:v>
      </x:c>
    </x:row>
    <x:row r="113" ht="19" customHeight="1">
      <x:c r="A113" s="1" t="str">
        <x:v>base</x:v>
      </x:c>
      <x:c r="B113" s="1" t="str">
        <x:v>willow</x:v>
      </x:c>
      <x:c r="C113" s="12" t="n">
        <x:v>2028</x:v>
      </x:c>
      <x:c r="D113" s="1" t="str">
        <x:v>synthetic_outturn</x:v>
      </x:c>
      <x:c r="E113" s="1" t="str">
        <x:v>revenue_usd</x:v>
      </x:c>
      <x:c r="F113" s="13" t="n">
        <x:v>0</x:v>
      </x:c>
      <x:c r="G113" s="13" t="n">
        <x:v>0</x:v>
      </x:c>
      <x:c r="H113" s="13" t="n">
        <x:v>0</x:v>
      </x:c>
      <x:c r="I113" s="13" t="n">
        <x:v>0</x:v>
      </x:c>
      <x:c r="J113" s="13" t="n">
        <x:v>0</x:v>
      </x:c>
      <x:c r="K113" s="13" t="n">
        <x:v>0</x:v>
      </x:c>
      <x:c r="L113" s="14" t="n">
        <x:f>G113-F113-SUM(H113:K113)</x:f>
        <x:v>0</x:v>
      </x:c>
    </x:row>
    <x:row r="114" ht="19" customHeight="1">
      <x:c r="A114" s="1" t="str">
        <x:v>base</x:v>
      </x:c>
      <x:c r="B114" s="1" t="str">
        <x:v>willow</x:v>
      </x:c>
      <x:c r="C114" s="12" t="n">
        <x:v>2029</x:v>
      </x:c>
      <x:c r="D114" s="1" t="str">
        <x:v>revised</x:v>
      </x:c>
      <x:c r="E114" s="1" t="str">
        <x:v>net_income_usd</x:v>
      </x:c>
      <x:c r="F114" s="13" t="n">
        <x:v>-3857759</x:v>
      </x:c>
      <x:c r="G114" s="13" t="n">
        <x:v>-3857759</x:v>
      </x:c>
      <x:c r="H114" s="13" t="n">
        <x:v>0</x:v>
      </x:c>
      <x:c r="I114" s="13" t="n">
        <x:v>0</x:v>
      </x:c>
      <x:c r="J114" s="13" t="n">
        <x:v>0</x:v>
      </x:c>
      <x:c r="K114" s="13" t="n">
        <x:v>0</x:v>
      </x:c>
      <x:c r="L114" s="14" t="n">
        <x:f>G114-F114-SUM(H114:K114)</x:f>
        <x:v>0</x:v>
      </x:c>
    </x:row>
    <x:row r="115" ht="19" customHeight="1">
      <x:c r="A115" s="1" t="str">
        <x:v>base</x:v>
      </x:c>
      <x:c r="B115" s="1" t="str">
        <x:v>willow</x:v>
      </x:c>
      <x:c r="C115" s="12" t="n">
        <x:v>2029</x:v>
      </x:c>
      <x:c r="D115" s="1" t="str">
        <x:v>revised</x:v>
      </x:c>
      <x:c r="E115" s="1" t="str">
        <x:v>revenue_usd</x:v>
      </x:c>
      <x:c r="F115" s="13" t="n">
        <x:v>0</x:v>
      </x:c>
      <x:c r="G115" s="13" t="n">
        <x:v>0</x:v>
      </x:c>
      <x:c r="H115" s="13" t="n">
        <x:v>0</x:v>
      </x:c>
      <x:c r="I115" s="13" t="n">
        <x:v>0</x:v>
      </x:c>
      <x:c r="J115" s="13" t="n">
        <x:v>0</x:v>
      </x:c>
      <x:c r="K115" s="13" t="n">
        <x:v>0</x:v>
      </x:c>
      <x:c r="L115" s="14" t="n">
        <x:f>G115-F115-SUM(H115:K115)</x:f>
        <x:v>0</x:v>
      </x:c>
    </x:row>
    <x:row r="116" ht="19" customHeight="1">
      <x:c r="A116" s="1" t="str">
        <x:v>base</x:v>
      </x:c>
      <x:c r="B116" s="1" t="str">
        <x:v>willow</x:v>
      </x:c>
      <x:c r="C116" s="12" t="n">
        <x:v>2029</x:v>
      </x:c>
      <x:c r="D116" s="1" t="str">
        <x:v>synthetic_outturn</x:v>
      </x:c>
      <x:c r="E116" s="1" t="str">
        <x:v>net_income_usd</x:v>
      </x:c>
      <x:c r="F116" s="13" t="n">
        <x:v>-3857759</x:v>
      </x:c>
      <x:c r="G116" s="13" t="n">
        <x:v>-3857759</x:v>
      </x:c>
      <x:c r="H116" s="13" t="n">
        <x:v>0</x:v>
      </x:c>
      <x:c r="I116" s="13" t="n">
        <x:v>0</x:v>
      </x:c>
      <x:c r="J116" s="13" t="n">
        <x:v>0</x:v>
      </x:c>
      <x:c r="K116" s="13" t="n">
        <x:v>0</x:v>
      </x:c>
      <x:c r="L116" s="14" t="n">
        <x:f>G116-F116-SUM(H116:K116)</x:f>
        <x:v>0</x:v>
      </x:c>
    </x:row>
    <x:row r="117" ht="19" customHeight="1">
      <x:c r="A117" s="1" t="str">
        <x:v>base</x:v>
      </x:c>
      <x:c r="B117" s="1" t="str">
        <x:v>willow</x:v>
      </x:c>
      <x:c r="C117" s="12" t="n">
        <x:v>2029</x:v>
      </x:c>
      <x:c r="D117" s="1" t="str">
        <x:v>synthetic_outturn</x:v>
      </x:c>
      <x:c r="E117" s="1" t="str">
        <x:v>revenue_usd</x:v>
      </x:c>
      <x:c r="F117" s="13" t="n">
        <x:v>0</x:v>
      </x:c>
      <x:c r="G117" s="13" t="n">
        <x:v>0</x:v>
      </x:c>
      <x:c r="H117" s="13" t="n">
        <x:v>0</x:v>
      </x:c>
      <x:c r="I117" s="13" t="n">
        <x:v>0</x:v>
      </x:c>
      <x:c r="J117" s="13" t="n">
        <x:v>0</x:v>
      </x:c>
      <x:c r="K117" s="13" t="n">
        <x:v>0</x:v>
      </x:c>
      <x:c r="L117" s="14" t="n">
        <x:f>G117-F117-SUM(H117:K117)</x:f>
        <x:v>0</x:v>
      </x:c>
    </x:row>
    <x:row r="118" ht="19" customHeight="1">
      <x:c r="A118" s="1" t="str">
        <x:v>base</x:v>
      </x:c>
      <x:c r="B118" s="1" t="str">
        <x:v>willow</x:v>
      </x:c>
      <x:c r="C118" s="12" t="n">
        <x:v>2030</x:v>
      </x:c>
      <x:c r="D118" s="1" t="str">
        <x:v>revised</x:v>
      </x:c>
      <x:c r="E118" s="1" t="str">
        <x:v>net_income_usd</x:v>
      </x:c>
      <x:c r="F118" s="13" t="n">
        <x:v>-3925471.77</x:v>
      </x:c>
      <x:c r="G118" s="13" t="n">
        <x:v>-3925471.77</x:v>
      </x:c>
      <x:c r="H118" s="13" t="n">
        <x:v>0</x:v>
      </x:c>
      <x:c r="I118" s="13" t="n">
        <x:v>0</x:v>
      </x:c>
      <x:c r="J118" s="13" t="n">
        <x:v>0</x:v>
      </x:c>
      <x:c r="K118" s="13" t="n">
        <x:v>0</x:v>
      </x:c>
      <x:c r="L118" s="14" t="n">
        <x:f>G118-F118-SUM(H118:K118)</x:f>
        <x:v>0</x:v>
      </x:c>
    </x:row>
    <x:row r="119" ht="19" customHeight="1">
      <x:c r="A119" s="1" t="str">
        <x:v>base</x:v>
      </x:c>
      <x:c r="B119" s="1" t="str">
        <x:v>willow</x:v>
      </x:c>
      <x:c r="C119" s="12" t="n">
        <x:v>2030</x:v>
      </x:c>
      <x:c r="D119" s="1" t="str">
        <x:v>revised</x:v>
      </x:c>
      <x:c r="E119" s="1" t="str">
        <x:v>revenue_usd</x:v>
      </x:c>
      <x:c r="F119" s="13" t="n">
        <x:v>0</x:v>
      </x:c>
      <x:c r="G119" s="13" t="n">
        <x:v>0</x:v>
      </x:c>
      <x:c r="H119" s="13" t="n">
        <x:v>0</x:v>
      </x:c>
      <x:c r="I119" s="13" t="n">
        <x:v>0</x:v>
      </x:c>
      <x:c r="J119" s="13" t="n">
        <x:v>0</x:v>
      </x:c>
      <x:c r="K119" s="13" t="n">
        <x:v>0</x:v>
      </x:c>
      <x:c r="L119" s="14" t="n">
        <x:f>G119-F119-SUM(H119:K119)</x:f>
        <x:v>0</x:v>
      </x:c>
    </x:row>
    <x:row r="120" ht="19" customHeight="1">
      <x:c r="A120" s="1" t="str">
        <x:v>base</x:v>
      </x:c>
      <x:c r="B120" s="1" t="str">
        <x:v>willow</x:v>
      </x:c>
      <x:c r="C120" s="12" t="n">
        <x:v>2030</x:v>
      </x:c>
      <x:c r="D120" s="1" t="str">
        <x:v>synthetic_outturn</x:v>
      </x:c>
      <x:c r="E120" s="1" t="str">
        <x:v>net_income_usd</x:v>
      </x:c>
      <x:c r="F120" s="13" t="n">
        <x:v>-3925471.77</x:v>
      </x:c>
      <x:c r="G120" s="13" t="n">
        <x:v>-3925471.77</x:v>
      </x:c>
      <x:c r="H120" s="13" t="n">
        <x:v>0</x:v>
      </x:c>
      <x:c r="I120" s="13" t="n">
        <x:v>0</x:v>
      </x:c>
      <x:c r="J120" s="13" t="n">
        <x:v>0</x:v>
      </x:c>
      <x:c r="K120" s="13" t="n">
        <x:v>0</x:v>
      </x:c>
      <x:c r="L120" s="14" t="n">
        <x:f>G120-F120-SUM(H120:K120)</x:f>
        <x:v>0</x:v>
      </x:c>
    </x:row>
    <x:row r="121" ht="19" customHeight="1">
      <x:c r="A121" s="1" t="str">
        <x:v>base</x:v>
      </x:c>
      <x:c r="B121" s="1" t="str">
        <x:v>willow</x:v>
      </x:c>
      <x:c r="C121" s="12" t="n">
        <x:v>2030</x:v>
      </x:c>
      <x:c r="D121" s="1" t="str">
        <x:v>synthetic_outturn</x:v>
      </x:c>
      <x:c r="E121" s="1" t="str">
        <x:v>revenue_usd</x:v>
      </x:c>
      <x:c r="F121" s="13" t="n">
        <x:v>0</x:v>
      </x:c>
      <x:c r="G121" s="13" t="n">
        <x:v>0</x:v>
      </x:c>
      <x:c r="H121" s="13" t="n">
        <x:v>0</x:v>
      </x:c>
      <x:c r="I121" s="13" t="n">
        <x:v>0</x:v>
      </x:c>
      <x:c r="J121" s="13" t="n">
        <x:v>0</x:v>
      </x:c>
      <x:c r="K121" s="13" t="n">
        <x:v>0</x:v>
      </x:c>
      <x:c r="L121" s="14" t="n">
        <x:f>G121-F121-SUM(H121:K121)</x:f>
        <x:v>0</x:v>
      </x:c>
    </x:row>
    <x:row r="122" ht="19" customHeight="1">
      <x:c r="A122" s="1" t="str">
        <x:v>base</x:v>
      </x:c>
      <x:c r="B122" s="1" t="str">
        <x:v>willow</x:v>
      </x:c>
      <x:c r="C122" s="12" t="n">
        <x:v>2031</x:v>
      </x:c>
      <x:c r="D122" s="1" t="str">
        <x:v>revised</x:v>
      </x:c>
      <x:c r="E122" s="1" t="str">
        <x:v>net_income_usd</x:v>
      </x:c>
      <x:c r="F122" s="13" t="n">
        <x:v>-4077535.9168</x:v>
      </x:c>
      <x:c r="G122" s="13" t="n">
        <x:v>-4077535.9168</x:v>
      </x:c>
      <x:c r="H122" s="13" t="n">
        <x:v>0</x:v>
      </x:c>
      <x:c r="I122" s="13" t="n">
        <x:v>0</x:v>
      </x:c>
      <x:c r="J122" s="13" t="n">
        <x:v>0</x:v>
      </x:c>
      <x:c r="K122" s="13" t="n">
        <x:v>0</x:v>
      </x:c>
      <x:c r="L122" s="14" t="n">
        <x:f>G122-F122-SUM(H122:K122)</x:f>
        <x:v>0</x:v>
      </x:c>
    </x:row>
    <x:row r="123" ht="19" customHeight="1">
      <x:c r="A123" s="1" t="str">
        <x:v>base</x:v>
      </x:c>
      <x:c r="B123" s="1" t="str">
        <x:v>willow</x:v>
      </x:c>
      <x:c r="C123" s="12" t="n">
        <x:v>2031</x:v>
      </x:c>
      <x:c r="D123" s="1" t="str">
        <x:v>revised</x:v>
      </x:c>
      <x:c r="E123" s="1" t="str">
        <x:v>revenue_usd</x:v>
      </x:c>
      <x:c r="F123" s="13" t="n">
        <x:v>0</x:v>
      </x:c>
      <x:c r="G123" s="13" t="n">
        <x:v>0</x:v>
      </x:c>
      <x:c r="H123" s="13" t="n">
        <x:v>0</x:v>
      </x:c>
      <x:c r="I123" s="13" t="n">
        <x:v>0</x:v>
      </x:c>
      <x:c r="J123" s="13" t="n">
        <x:v>0</x:v>
      </x:c>
      <x:c r="K123" s="13" t="n">
        <x:v>0</x:v>
      </x:c>
      <x:c r="L123" s="14" t="n">
        <x:f>G123-F123-SUM(H123:K123)</x:f>
        <x:v>0</x:v>
      </x:c>
    </x:row>
    <x:row r="124" ht="19" customHeight="1">
      <x:c r="A124" s="1" t="str">
        <x:v>base</x:v>
      </x:c>
      <x:c r="B124" s="1" t="str">
        <x:v>willow</x:v>
      </x:c>
      <x:c r="C124" s="12" t="n">
        <x:v>2031</x:v>
      </x:c>
      <x:c r="D124" s="1" t="str">
        <x:v>synthetic_outturn</x:v>
      </x:c>
      <x:c r="E124" s="1" t="str">
        <x:v>net_income_usd</x:v>
      </x:c>
      <x:c r="F124" s="13" t="n">
        <x:v>-4077535.9168</x:v>
      </x:c>
      <x:c r="G124" s="13" t="n">
        <x:v>-4077535.9168</x:v>
      </x:c>
      <x:c r="H124" s="13" t="n">
        <x:v>0</x:v>
      </x:c>
      <x:c r="I124" s="13" t="n">
        <x:v>0</x:v>
      </x:c>
      <x:c r="J124" s="13" t="n">
        <x:v>0</x:v>
      </x:c>
      <x:c r="K124" s="13" t="n">
        <x:v>0</x:v>
      </x:c>
      <x:c r="L124" s="14" t="n">
        <x:f>G124-F124-SUM(H124:K124)</x:f>
        <x:v>0</x:v>
      </x:c>
    </x:row>
    <x:row r="125" ht="19" customHeight="1">
      <x:c r="A125" s="1" t="str">
        <x:v>base</x:v>
      </x:c>
      <x:c r="B125" s="1" t="str">
        <x:v>willow</x:v>
      </x:c>
      <x:c r="C125" s="12" t="n">
        <x:v>2031</x:v>
      </x:c>
      <x:c r="D125" s="1" t="str">
        <x:v>synthetic_outturn</x:v>
      </x:c>
      <x:c r="E125" s="1" t="str">
        <x:v>revenue_usd</x:v>
      </x:c>
      <x:c r="F125" s="13" t="n">
        <x:v>0</x:v>
      </x:c>
      <x:c r="G125" s="13" t="n">
        <x:v>0</x:v>
      </x:c>
      <x:c r="H125" s="13" t="n">
        <x:v>0</x:v>
      </x:c>
      <x:c r="I125" s="13" t="n">
        <x:v>0</x:v>
      </x:c>
      <x:c r="J125" s="13" t="n">
        <x:v>0</x:v>
      </x:c>
      <x:c r="K125" s="13" t="n">
        <x:v>0</x:v>
      </x:c>
      <x:c r="L125" s="14" t="n">
        <x:f>G125-F125-SUM(H125:K125)</x:f>
        <x:v>0</x:v>
      </x:c>
    </x:row>
    <x:row r="126" ht="19" customHeight="1">
      <x:c r="A126" s="1" t="str">
        <x:v>downside</x:v>
      </x:c>
      <x:c r="B126" s="1" t="str">
        <x:v>advisory</x:v>
      </x:c>
      <x:c r="C126" s="12" t="n">
        <x:v>2027</x:v>
      </x:c>
      <x:c r="D126" s="1" t="str">
        <x:v>revised</x:v>
      </x:c>
      <x:c r="E126" s="1" t="str">
        <x:v>net_income_usd</x:v>
      </x:c>
      <x:c r="F126" s="13" t="n">
        <x:v>-294299.0528</x:v>
      </x:c>
      <x:c r="G126" s="13" t="n">
        <x:v>-219642.4496</x:v>
      </x:c>
      <x:c r="H126" s="13" t="n">
        <x:v>0</x:v>
      </x:c>
      <x:c r="I126" s="13" t="n">
        <x:v>74656.6032</x:v>
      </x:c>
      <x:c r="J126" s="13" t="n">
        <x:v>0</x:v>
      </x:c>
      <x:c r="K126" s="13" t="n">
        <x:v>0</x:v>
      </x:c>
      <x:c r="L126" s="14" t="n">
        <x:f>G126-F126-SUM(H126:K126)</x:f>
        <x:v>1.4551915228366852e-11</x:v>
      </x:c>
    </x:row>
    <x:row r="127" ht="19" customHeight="1">
      <x:c r="A127" s="1" t="str">
        <x:v>downside</x:v>
      </x:c>
      <x:c r="B127" s="1" t="str">
        <x:v>advisory</x:v>
      </x:c>
      <x:c r="C127" s="12" t="n">
        <x:v>2027</x:v>
      </x:c>
      <x:c r="D127" s="1" t="str">
        <x:v>revised</x:v>
      </x:c>
      <x:c r="E127" s="1" t="str">
        <x:v>revenue_usd</x:v>
      </x:c>
      <x:c r="F127" s="13" t="n">
        <x:v>5773680</x:v>
      </x:c>
      <x:c r="G127" s="13" t="n">
        <x:v>5863752</x:v>
      </x:c>
      <x:c r="H127" s="13" t="n">
        <x:v>0</x:v>
      </x:c>
      <x:c r="I127" s="13" t="n">
        <x:v>90072</x:v>
      </x:c>
      <x:c r="J127" s="13" t="n">
        <x:v>0</x:v>
      </x:c>
      <x:c r="K127" s="13" t="n">
        <x:v>0</x:v>
      </x:c>
      <x:c r="L127" s="14" t="n">
        <x:f>G127-F127-SUM(H127:K127)</x:f>
        <x:v>0</x:v>
      </x:c>
    </x:row>
    <x:row r="128" ht="19" customHeight="1">
      <x:c r="A128" s="1" t="str">
        <x:v>downside</x:v>
      </x:c>
      <x:c r="B128" s="1" t="str">
        <x:v>advisory</x:v>
      </x:c>
      <x:c r="C128" s="12" t="n">
        <x:v>2027</x:v>
      </x:c>
      <x:c r="D128" s="1" t="str">
        <x:v>synthetic_outturn</x:v>
      </x:c>
      <x:c r="E128" s="1" t="str">
        <x:v>net_income_usd</x:v>
      </x:c>
      <x:c r="F128" s="13" t="n">
        <x:v>-219642.4496</x:v>
      </x:c>
      <x:c r="G128" s="13" t="n">
        <x:v>-219642.4496</x:v>
      </x:c>
      <x:c r="H128" s="13" t="n">
        <x:v>0</x:v>
      </x:c>
      <x:c r="I128" s="13" t="n">
        <x:v>0</x:v>
      </x:c>
      <x:c r="J128" s="13" t="n">
        <x:v>0</x:v>
      </x:c>
      <x:c r="K128" s="13" t="n">
        <x:v>0</x:v>
      </x:c>
      <x:c r="L128" s="14" t="n">
        <x:f>G128-F128-SUM(H128:K128)</x:f>
        <x:v>0</x:v>
      </x:c>
    </x:row>
    <x:row r="129" ht="19" customHeight="1">
      <x:c r="A129" s="1" t="str">
        <x:v>downside</x:v>
      </x:c>
      <x:c r="B129" s="1" t="str">
        <x:v>advisory</x:v>
      </x:c>
      <x:c r="C129" s="12" t="n">
        <x:v>2027</x:v>
      </x:c>
      <x:c r="D129" s="1" t="str">
        <x:v>synthetic_outturn</x:v>
      </x:c>
      <x:c r="E129" s="1" t="str">
        <x:v>revenue_usd</x:v>
      </x:c>
      <x:c r="F129" s="13" t="n">
        <x:v>5863752</x:v>
      </x:c>
      <x:c r="G129" s="13" t="n">
        <x:v>5863752</x:v>
      </x:c>
      <x:c r="H129" s="13" t="n">
        <x:v>0</x:v>
      </x:c>
      <x:c r="I129" s="13" t="n">
        <x:v>0</x:v>
      </x:c>
      <x:c r="J129" s="13" t="n">
        <x:v>0</x:v>
      </x:c>
      <x:c r="K129" s="13" t="n">
        <x:v>0</x:v>
      </x:c>
      <x:c r="L129" s="14" t="n">
        <x:f>G129-F129-SUM(H129:K129)</x:f>
        <x:v>0</x:v>
      </x:c>
    </x:row>
    <x:row r="130" ht="19" customHeight="1">
      <x:c r="A130" s="1" t="str">
        <x:v>downside</x:v>
      </x:c>
      <x:c r="B130" s="1" t="str">
        <x:v>advisory</x:v>
      </x:c>
      <x:c r="C130" s="12" t="n">
        <x:v>2028</x:v>
      </x:c>
      <x:c r="D130" s="1" t="str">
        <x:v>revised</x:v>
      </x:c>
      <x:c r="E130" s="1" t="str">
        <x:v>net_income_usd</x:v>
      </x:c>
      <x:c r="F130" s="13" t="n">
        <x:v>4170895.6032</x:v>
      </x:c>
      <x:c r="G130" s="13" t="n">
        <x:v>4796940.6528</x:v>
      </x:c>
      <x:c r="H130" s="13" t="n">
        <x:v>0</x:v>
      </x:c>
      <x:c r="I130" s="13" t="n">
        <x:v>626045.0496</x:v>
      </x:c>
      <x:c r="J130" s="13" t="n">
        <x:v>0</x:v>
      </x:c>
      <x:c r="K130" s="13" t="n">
        <x:v>0</x:v>
      </x:c>
      <x:c r="L130" s="14" t="n">
        <x:f>G130-F130-SUM(H130:K130)</x:f>
        <x:v>4.656612873077393e-10</x:v>
      </x:c>
    </x:row>
    <x:row r="131" ht="19" customHeight="1">
      <x:c r="A131" s="1" t="str">
        <x:v>downside</x:v>
      </x:c>
      <x:c r="B131" s="1" t="str">
        <x:v>advisory</x:v>
      </x:c>
      <x:c r="C131" s="12" t="n">
        <x:v>2028</x:v>
      </x:c>
      <x:c r="D131" s="1" t="str">
        <x:v>revised</x:v>
      </x:c>
      <x:c r="E131" s="1" t="str">
        <x:v>revenue_usd</x:v>
      </x:c>
      <x:c r="F131" s="13" t="n">
        <x:v>10420920</x:v>
      </x:c>
      <x:c r="G131" s="13" t="n">
        <x:v>11084040</x:v>
      </x:c>
      <x:c r="H131" s="13" t="n">
        <x:v>0</x:v>
      </x:c>
      <x:c r="I131" s="13" t="n">
        <x:v>663120</x:v>
      </x:c>
      <x:c r="J131" s="13" t="n">
        <x:v>0</x:v>
      </x:c>
      <x:c r="K131" s="13" t="n">
        <x:v>0</x:v>
      </x:c>
      <x:c r="L131" s="14" t="n">
        <x:f>G131-F131-SUM(H131:K131)</x:f>
        <x:v>0</x:v>
      </x:c>
    </x:row>
    <x:row r="132" ht="19" customHeight="1">
      <x:c r="A132" s="1" t="str">
        <x:v>downside</x:v>
      </x:c>
      <x:c r="B132" s="1" t="str">
        <x:v>advisory</x:v>
      </x:c>
      <x:c r="C132" s="12" t="n">
        <x:v>2028</x:v>
      </x:c>
      <x:c r="D132" s="1" t="str">
        <x:v>synthetic_outturn</x:v>
      </x:c>
      <x:c r="E132" s="1" t="str">
        <x:v>net_income_usd</x:v>
      </x:c>
      <x:c r="F132" s="13" t="n">
        <x:v>4796940.6528</x:v>
      </x:c>
      <x:c r="G132" s="13" t="n">
        <x:v>4796940.6528</x:v>
      </x:c>
      <x:c r="H132" s="13" t="n">
        <x:v>0</x:v>
      </x:c>
      <x:c r="I132" s="13" t="n">
        <x:v>0</x:v>
      </x:c>
      <x:c r="J132" s="13" t="n">
        <x:v>0</x:v>
      </x:c>
      <x:c r="K132" s="13" t="n">
        <x:v>0</x:v>
      </x:c>
      <x:c r="L132" s="14" t="n">
        <x:f>G132-F132-SUM(H132:K132)</x:f>
        <x:v>0</x:v>
      </x:c>
    </x:row>
    <x:row r="133" ht="19" customHeight="1">
      <x:c r="A133" s="1" t="str">
        <x:v>downside</x:v>
      </x:c>
      <x:c r="B133" s="1" t="str">
        <x:v>advisory</x:v>
      </x:c>
      <x:c r="C133" s="12" t="n">
        <x:v>2028</x:v>
      </x:c>
      <x:c r="D133" s="1" t="str">
        <x:v>synthetic_outturn</x:v>
      </x:c>
      <x:c r="E133" s="1" t="str">
        <x:v>revenue_usd</x:v>
      </x:c>
      <x:c r="F133" s="13" t="n">
        <x:v>11084040</x:v>
      </x:c>
      <x:c r="G133" s="13" t="n">
        <x:v>11084040</x:v>
      </x:c>
      <x:c r="H133" s="13" t="n">
        <x:v>0</x:v>
      </x:c>
      <x:c r="I133" s="13" t="n">
        <x:v>0</x:v>
      </x:c>
      <x:c r="J133" s="13" t="n">
        <x:v>0</x:v>
      </x:c>
      <x:c r="K133" s="13" t="n">
        <x:v>0</x:v>
      </x:c>
      <x:c r="L133" s="14" t="n">
        <x:f>G133-F133-SUM(H133:K133)</x:f>
        <x:v>0</x:v>
      </x:c>
    </x:row>
    <x:row r="134" ht="19" customHeight="1">
      <x:c r="A134" s="1" t="str">
        <x:v>downside</x:v>
      </x:c>
      <x:c r="B134" s="1" t="str">
        <x:v>advisory</x:v>
      </x:c>
      <x:c r="C134" s="12" t="n">
        <x:v>2029</x:v>
      </x:c>
      <x:c r="D134" s="1" t="str">
        <x:v>revised</x:v>
      </x:c>
      <x:c r="E134" s="1" t="str">
        <x:v>net_income_usd</x:v>
      </x:c>
      <x:c r="F134" s="13" t="n">
        <x:v>3666838.0032</x:v>
      </x:c>
      <x:c r="G134" s="13" t="n">
        <x:v>4633566.8448</x:v>
      </x:c>
      <x:c r="H134" s="13" t="n">
        <x:v>0</x:v>
      </x:c>
      <x:c r="I134" s="13" t="n">
        <x:v>966728.8416</x:v>
      </x:c>
      <x:c r="J134" s="13" t="n">
        <x:v>0</x:v>
      </x:c>
      <x:c r="K134" s="13" t="n">
        <x:v>0</x:v>
      </x:c>
      <x:c r="L134" s="14" t="n">
        <x:f>G134-F134-SUM(H134:K134)</x:f>
        <x:v>-1.1641532182693481e-10</x:v>
      </x:c>
    </x:row>
    <x:row r="135" ht="19" customHeight="1">
      <x:c r="A135" s="1" t="str">
        <x:v>downside</x:v>
      </x:c>
      <x:c r="B135" s="1" t="str">
        <x:v>advisory</x:v>
      </x:c>
      <x:c r="C135" s="12" t="n">
        <x:v>2029</x:v>
      </x:c>
      <x:c r="D135" s="1" t="str">
        <x:v>revised</x:v>
      </x:c>
      <x:c r="E135" s="1" t="str">
        <x:v>revenue_usd</x:v>
      </x:c>
      <x:c r="F135" s="13" t="n">
        <x:v>10076400</x:v>
      </x:c>
      <x:c r="G135" s="13" t="n">
        <x:v>11084040</x:v>
      </x:c>
      <x:c r="H135" s="13" t="n">
        <x:v>0</x:v>
      </x:c>
      <x:c r="I135" s="13" t="n">
        <x:v>1007640</x:v>
      </x:c>
      <x:c r="J135" s="13" t="n">
        <x:v>0</x:v>
      </x:c>
      <x:c r="K135" s="13" t="n">
        <x:v>0</x:v>
      </x:c>
      <x:c r="L135" s="14" t="n">
        <x:f>G135-F135-SUM(H135:K135)</x:f>
        <x:v>0</x:v>
      </x:c>
    </x:row>
    <x:row r="136" ht="19" customHeight="1">
      <x:c r="A136" s="1" t="str">
        <x:v>downside</x:v>
      </x:c>
      <x:c r="B136" s="1" t="str">
        <x:v>advisory</x:v>
      </x:c>
      <x:c r="C136" s="12" t="n">
        <x:v>2029</x:v>
      </x:c>
      <x:c r="D136" s="1" t="str">
        <x:v>synthetic_outturn</x:v>
      </x:c>
      <x:c r="E136" s="1" t="str">
        <x:v>net_income_usd</x:v>
      </x:c>
      <x:c r="F136" s="13" t="n">
        <x:v>4633566.8448</x:v>
      </x:c>
      <x:c r="G136" s="13" t="n">
        <x:v>4633566.8448</x:v>
      </x:c>
      <x:c r="H136" s="13" t="n">
        <x:v>0</x:v>
      </x:c>
      <x:c r="I136" s="13" t="n">
        <x:v>0</x:v>
      </x:c>
      <x:c r="J136" s="13" t="n">
        <x:v>0</x:v>
      </x:c>
      <x:c r="K136" s="13" t="n">
        <x:v>0</x:v>
      </x:c>
      <x:c r="L136" s="14" t="n">
        <x:f>G136-F136-SUM(H136:K136)</x:f>
        <x:v>0</x:v>
      </x:c>
    </x:row>
    <x:row r="137" ht="19" customHeight="1">
      <x:c r="A137" s="1" t="str">
        <x:v>downside</x:v>
      </x:c>
      <x:c r="B137" s="1" t="str">
        <x:v>advisory</x:v>
      </x:c>
      <x:c r="C137" s="12" t="n">
        <x:v>2029</x:v>
      </x:c>
      <x:c r="D137" s="1" t="str">
        <x:v>synthetic_outturn</x:v>
      </x:c>
      <x:c r="E137" s="1" t="str">
        <x:v>revenue_usd</x:v>
      </x:c>
      <x:c r="F137" s="13" t="n">
        <x:v>11084040</x:v>
      </x:c>
      <x:c r="G137" s="13" t="n">
        <x:v>11084040</x:v>
      </x:c>
      <x:c r="H137" s="13" t="n">
        <x:v>0</x:v>
      </x:c>
      <x:c r="I137" s="13" t="n">
        <x:v>0</x:v>
      </x:c>
      <x:c r="J137" s="13" t="n">
        <x:v>0</x:v>
      </x:c>
      <x:c r="K137" s="13" t="n">
        <x:v>0</x:v>
      </x:c>
      <x:c r="L137" s="14" t="n">
        <x:f>G137-F137-SUM(H137:K137)</x:f>
        <x:v>0</x:v>
      </x:c>
    </x:row>
    <x:row r="138" ht="19" customHeight="1">
      <x:c r="A138" s="1" t="str">
        <x:v>downside</x:v>
      </x:c>
      <x:c r="B138" s="1" t="str">
        <x:v>advisory</x:v>
      </x:c>
      <x:c r="C138" s="12" t="n">
        <x:v>2030</x:v>
      </x:c>
      <x:c r="D138" s="1" t="str">
        <x:v>revised</x:v>
      </x:c>
      <x:c r="E138" s="1" t="str">
        <x:v>net_income_usd</x:v>
      </x:c>
      <x:c r="F138" s="13" t="n">
        <x:v>3486824.4912</x:v>
      </x:c>
      <x:c r="G138" s="13" t="n">
        <x:v>4453553.3328</x:v>
      </x:c>
      <x:c r="H138" s="13" t="n">
        <x:v>0</x:v>
      </x:c>
      <x:c r="I138" s="13" t="n">
        <x:v>966728.8416</x:v>
      </x:c>
      <x:c r="J138" s="13" t="n">
        <x:v>0</x:v>
      </x:c>
      <x:c r="K138" s="13" t="n">
        <x:v>0</x:v>
      </x:c>
      <x:c r="L138" s="14" t="n">
        <x:f>G138-F138-SUM(H138:K138)</x:f>
        <x:v>-1.1641532182693481e-10</x:v>
      </x:c>
    </x:row>
    <x:row r="139" ht="19" customHeight="1">
      <x:c r="A139" s="1" t="str">
        <x:v>downside</x:v>
      </x:c>
      <x:c r="B139" s="1" t="str">
        <x:v>advisory</x:v>
      </x:c>
      <x:c r="C139" s="12" t="n">
        <x:v>2030</x:v>
      </x:c>
      <x:c r="D139" s="1" t="str">
        <x:v>revised</x:v>
      </x:c>
      <x:c r="E139" s="1" t="str">
        <x:v>revenue_usd</x:v>
      </x:c>
      <x:c r="F139" s="13" t="n">
        <x:v>10076400</x:v>
      </x:c>
      <x:c r="G139" s="13" t="n">
        <x:v>11084040</x:v>
      </x:c>
      <x:c r="H139" s="13" t="n">
        <x:v>0</x:v>
      </x:c>
      <x:c r="I139" s="13" t="n">
        <x:v>1007640</x:v>
      </x:c>
      <x:c r="J139" s="13" t="n">
        <x:v>0</x:v>
      </x:c>
      <x:c r="K139" s="13" t="n">
        <x:v>0</x:v>
      </x:c>
      <x:c r="L139" s="14" t="n">
        <x:f>G139-F139-SUM(H139:K139)</x:f>
        <x:v>0</x:v>
      </x:c>
    </x:row>
    <x:row r="140" ht="19" customHeight="1">
      <x:c r="A140" s="1" t="str">
        <x:v>downside</x:v>
      </x:c>
      <x:c r="B140" s="1" t="str">
        <x:v>advisory</x:v>
      </x:c>
      <x:c r="C140" s="12" t="n">
        <x:v>2030</x:v>
      </x:c>
      <x:c r="D140" s="1" t="str">
        <x:v>synthetic_outturn</x:v>
      </x:c>
      <x:c r="E140" s="1" t="str">
        <x:v>net_income_usd</x:v>
      </x:c>
      <x:c r="F140" s="13" t="n">
        <x:v>4453553.3328</x:v>
      </x:c>
      <x:c r="G140" s="13" t="n">
        <x:v>4453553.3328</x:v>
      </x:c>
      <x:c r="H140" s="13" t="n">
        <x:v>0</x:v>
      </x:c>
      <x:c r="I140" s="13" t="n">
        <x:v>0</x:v>
      </x:c>
      <x:c r="J140" s="13" t="n">
        <x:v>0</x:v>
      </x:c>
      <x:c r="K140" s="13" t="n">
        <x:v>0</x:v>
      </x:c>
      <x:c r="L140" s="14" t="n">
        <x:f>G140-F140-SUM(H140:K140)</x:f>
        <x:v>0</x:v>
      </x:c>
    </x:row>
    <x:row r="141" ht="19" customHeight="1">
      <x:c r="A141" s="1" t="str">
        <x:v>downside</x:v>
      </x:c>
      <x:c r="B141" s="1" t="str">
        <x:v>advisory</x:v>
      </x:c>
      <x:c r="C141" s="12" t="n">
        <x:v>2030</x:v>
      </x:c>
      <x:c r="D141" s="1" t="str">
        <x:v>synthetic_outturn</x:v>
      </x:c>
      <x:c r="E141" s="1" t="str">
        <x:v>revenue_usd</x:v>
      </x:c>
      <x:c r="F141" s="13" t="n">
        <x:v>11084040</x:v>
      </x:c>
      <x:c r="G141" s="13" t="n">
        <x:v>11084040</x:v>
      </x:c>
      <x:c r="H141" s="13" t="n">
        <x:v>0</x:v>
      </x:c>
      <x:c r="I141" s="13" t="n">
        <x:v>0</x:v>
      </x:c>
      <x:c r="J141" s="13" t="n">
        <x:v>0</x:v>
      </x:c>
      <x:c r="K141" s="13" t="n">
        <x:v>0</x:v>
      </x:c>
      <x:c r="L141" s="14" t="n">
        <x:f>G141-F141-SUM(H141:K141)</x:f>
        <x:v>0</x:v>
      </x:c>
    </x:row>
    <x:row r="142" ht="19" customHeight="1">
      <x:c r="A142" s="1" t="str">
        <x:v>downside</x:v>
      </x:c>
      <x:c r="B142" s="1" t="str">
        <x:v>advisory</x:v>
      </x:c>
      <x:c r="C142" s="12" t="n">
        <x:v>2031</x:v>
      </x:c>
      <x:c r="D142" s="1" t="str">
        <x:v>revised</x:v>
      </x:c>
      <x:c r="E142" s="1" t="str">
        <x:v>net_income_usd</x:v>
      </x:c>
      <x:c r="F142" s="13" t="n">
        <x:v>3301410.5796</x:v>
      </x:c>
      <x:c r="G142" s="13" t="n">
        <x:v>4268139.4212</x:v>
      </x:c>
      <x:c r="H142" s="13" t="n">
        <x:v>0</x:v>
      </x:c>
      <x:c r="I142" s="13" t="n">
        <x:v>966728.8416</x:v>
      </x:c>
      <x:c r="J142" s="13" t="n">
        <x:v>0</x:v>
      </x:c>
      <x:c r="K142" s="13" t="n">
        <x:v>0</x:v>
      </x:c>
      <x:c r="L142" s="14" t="n">
        <x:f>G142-F142-SUM(H142:K142)</x:f>
        <x:v>-1.1641532182693481e-10</x:v>
      </x:c>
    </x:row>
    <x:row r="143" ht="19" customHeight="1">
      <x:c r="A143" s="1" t="str">
        <x:v>downside</x:v>
      </x:c>
      <x:c r="B143" s="1" t="str">
        <x:v>advisory</x:v>
      </x:c>
      <x:c r="C143" s="12" t="n">
        <x:v>2031</x:v>
      </x:c>
      <x:c r="D143" s="1" t="str">
        <x:v>revised</x:v>
      </x:c>
      <x:c r="E143" s="1" t="str">
        <x:v>revenue_usd</x:v>
      </x:c>
      <x:c r="F143" s="13" t="n">
        <x:v>10076400</x:v>
      </x:c>
      <x:c r="G143" s="13" t="n">
        <x:v>11084040</x:v>
      </x:c>
      <x:c r="H143" s="13" t="n">
        <x:v>0</x:v>
      </x:c>
      <x:c r="I143" s="13" t="n">
        <x:v>1007640</x:v>
      </x:c>
      <x:c r="J143" s="13" t="n">
        <x:v>0</x:v>
      </x:c>
      <x:c r="K143" s="13" t="n">
        <x:v>0</x:v>
      </x:c>
      <x:c r="L143" s="14" t="n">
        <x:f>G143-F143-SUM(H143:K143)</x:f>
        <x:v>0</x:v>
      </x:c>
    </x:row>
    <x:row r="144" ht="19" customHeight="1">
      <x:c r="A144" s="1" t="str">
        <x:v>downside</x:v>
      </x:c>
      <x:c r="B144" s="1" t="str">
        <x:v>advisory</x:v>
      </x:c>
      <x:c r="C144" s="12" t="n">
        <x:v>2031</x:v>
      </x:c>
      <x:c r="D144" s="1" t="str">
        <x:v>synthetic_outturn</x:v>
      </x:c>
      <x:c r="E144" s="1" t="str">
        <x:v>net_income_usd</x:v>
      </x:c>
      <x:c r="F144" s="13" t="n">
        <x:v>4268139.4212</x:v>
      </x:c>
      <x:c r="G144" s="13" t="n">
        <x:v>4268139.4212</x:v>
      </x:c>
      <x:c r="H144" s="13" t="n">
        <x:v>0</x:v>
      </x:c>
      <x:c r="I144" s="13" t="n">
        <x:v>0</x:v>
      </x:c>
      <x:c r="J144" s="13" t="n">
        <x:v>0</x:v>
      </x:c>
      <x:c r="K144" s="13" t="n">
        <x:v>0</x:v>
      </x:c>
      <x:c r="L144" s="14" t="n">
        <x:f>G144-F144-SUM(H144:K144)</x:f>
        <x:v>0</x:v>
      </x:c>
    </x:row>
    <x:row r="145" ht="19" customHeight="1">
      <x:c r="A145" s="1" t="str">
        <x:v>downside</x:v>
      </x:c>
      <x:c r="B145" s="1" t="str">
        <x:v>advisory</x:v>
      </x:c>
      <x:c r="C145" s="12" t="n">
        <x:v>2031</x:v>
      </x:c>
      <x:c r="D145" s="1" t="str">
        <x:v>synthetic_outturn</x:v>
      </x:c>
      <x:c r="E145" s="1" t="str">
        <x:v>revenue_usd</x:v>
      </x:c>
      <x:c r="F145" s="13" t="n">
        <x:v>11084040</x:v>
      </x:c>
      <x:c r="G145" s="13" t="n">
        <x:v>11084040</x:v>
      </x:c>
      <x:c r="H145" s="13" t="n">
        <x:v>0</x:v>
      </x:c>
      <x:c r="I145" s="13" t="n">
        <x:v>0</x:v>
      </x:c>
      <x:c r="J145" s="13" t="n">
        <x:v>0</x:v>
      </x:c>
      <x:c r="K145" s="13" t="n">
        <x:v>0</x:v>
      </x:c>
      <x:c r="L145" s="14" t="n">
        <x:f>G145-F145-SUM(H145:K145)</x:f>
        <x:v>0</x:v>
      </x:c>
    </x:row>
    <x:row r="146" ht="19" customHeight="1">
      <x:c r="A146" s="1" t="str">
        <x:v>downside</x:v>
      </x:c>
      <x:c r="B146" s="1" t="str">
        <x:v>atlas-meridian</x:v>
      </x:c>
      <x:c r="C146" s="12" t="n">
        <x:v>2027</x:v>
      </x:c>
      <x:c r="D146" s="1" t="str">
        <x:v>revised</x:v>
      </x:c>
      <x:c r="E146" s="1" t="str">
        <x:v>net_income_usd</x:v>
      </x:c>
      <x:c r="F146" s="13" t="n">
        <x:v>-3693218.2988</x:v>
      </x:c>
      <x:c r="G146" s="13" t="n">
        <x:v>-3688377.3788</x:v>
      </x:c>
      <x:c r="H146" s="13" t="n">
        <x:v>10395</x:v>
      </x:c>
      <x:c r="I146" s="13" t="n">
        <x:v>-5554.08</x:v>
      </x:c>
      <x:c r="J146" s="13" t="n">
        <x:v>0</x:v>
      </x:c>
      <x:c r="K146" s="13" t="n">
        <x:v>0</x:v>
      </x:c>
      <x:c r="L146" s="14" t="n">
        <x:f>G146-F146-SUM(H146:K146)</x:f>
        <x:v>-7.457856554538012e-11</x:v>
      </x:c>
    </x:row>
    <x:row r="147" ht="19" customHeight="1">
      <x:c r="A147" s="1" t="str">
        <x:v>downside</x:v>
      </x:c>
      <x:c r="B147" s="1" t="str">
        <x:v>atlas-meridian</x:v>
      </x:c>
      <x:c r="C147" s="12" t="n">
        <x:v>2027</x:v>
      </x:c>
      <x:c r="D147" s="1" t="str">
        <x:v>revised</x:v>
      </x:c>
      <x:c r="E147" s="1" t="str">
        <x:v>revenue_usd</x:v>
      </x:c>
      <x:c r="F147" s="13" t="n">
        <x:v>3890250</x:v>
      </x:c>
      <x:c r="G147" s="13" t="n">
        <x:v>3901455</x:v>
      </x:c>
      <x:c r="H147" s="13" t="n">
        <x:v>11205</x:v>
      </x:c>
      <x:c r="I147" s="13" t="n">
        <x:v>0</x:v>
      </x:c>
      <x:c r="J147" s="13" t="n">
        <x:v>0</x:v>
      </x:c>
      <x:c r="K147" s="13" t="n">
        <x:v>0</x:v>
      </x:c>
      <x:c r="L147" s="14" t="n">
        <x:f>G147-F147-SUM(H147:K147)</x:f>
        <x:v>0</x:v>
      </x:c>
    </x:row>
    <x:row r="148" ht="19" customHeight="1">
      <x:c r="A148" s="1" t="str">
        <x:v>downside</x:v>
      </x:c>
      <x:c r="B148" s="1" t="str">
        <x:v>atlas-meridian</x:v>
      </x:c>
      <x:c r="C148" s="12" t="n">
        <x:v>2027</x:v>
      </x:c>
      <x:c r="D148" s="1" t="str">
        <x:v>synthetic_outturn</x:v>
      </x:c>
      <x:c r="E148" s="1" t="str">
        <x:v>net_income_usd</x:v>
      </x:c>
      <x:c r="F148" s="13" t="n">
        <x:v>-3688377.3788</x:v>
      </x:c>
      <x:c r="G148" s="13" t="n">
        <x:v>-3775863.9788</x:v>
      </x:c>
      <x:c r="H148" s="13" t="n">
        <x:v>0</x:v>
      </x:c>
      <x:c r="I148" s="13" t="n">
        <x:v>0</x:v>
      </x:c>
      <x:c r="J148" s="13" t="n">
        <x:v>-87486.6</x:v>
      </x:c>
      <x:c r="K148" s="13" t="n">
        <x:v>0</x:v>
      </x:c>
      <x:c r="L148" s="14" t="n">
        <x:f>G148-F148-SUM(H148:K148)</x:f>
        <x:v>-8.731149137020111e-11</x:v>
      </x:c>
    </x:row>
    <x:row r="149" ht="19" customHeight="1">
      <x:c r="A149" s="1" t="str">
        <x:v>downside</x:v>
      </x:c>
      <x:c r="B149" s="1" t="str">
        <x:v>atlas-meridian</x:v>
      </x:c>
      <x:c r="C149" s="12" t="n">
        <x:v>2027</x:v>
      </x:c>
      <x:c r="D149" s="1" t="str">
        <x:v>synthetic_outturn</x:v>
      </x:c>
      <x:c r="E149" s="1" t="str">
        <x:v>revenue_usd</x:v>
      </x:c>
      <x:c r="F149" s="13" t="n">
        <x:v>3901455</x:v>
      </x:c>
      <x:c r="G149" s="13" t="n">
        <x:v>3804120</x:v>
      </x:c>
      <x:c r="H149" s="13" t="n">
        <x:v>0</x:v>
      </x:c>
      <x:c r="I149" s="13" t="n">
        <x:v>0</x:v>
      </x:c>
      <x:c r="J149" s="13" t="n">
        <x:v>-97335</x:v>
      </x:c>
      <x:c r="K149" s="13" t="n">
        <x:v>0</x:v>
      </x:c>
      <x:c r="L149" s="14" t="n">
        <x:f>G149-F149-SUM(H149:K149)</x:f>
        <x:v>0</x:v>
      </x:c>
    </x:row>
    <x:row r="150" ht="19" customHeight="1">
      <x:c r="A150" s="1" t="str">
        <x:v>downside</x:v>
      </x:c>
      <x:c r="B150" s="1" t="str">
        <x:v>atlas-meridian</x:v>
      </x:c>
      <x:c r="C150" s="12" t="n">
        <x:v>2028</x:v>
      </x:c>
      <x:c r="D150" s="1" t="str">
        <x:v>revised</x:v>
      </x:c>
      <x:c r="E150" s="1" t="str">
        <x:v>net_income_usd</x:v>
      </x:c>
      <x:c r="F150" s="13" t="n">
        <x:v>-3480240.9652</x:v>
      </x:c>
      <x:c r="G150" s="13" t="n">
        <x:v>-3284867.3642</x:v>
      </x:c>
      <x:c r="H150" s="13" t="n">
        <x:v>31066.2</x:v>
      </x:c>
      <x:c r="I150" s="13" t="n">
        <x:v>164307.401</x:v>
      </x:c>
      <x:c r="J150" s="13" t="n">
        <x:v>0</x:v>
      </x:c>
      <x:c r="K150" s="13" t="n">
        <x:v>0</x:v>
      </x:c>
      <x:c r="L150" s="14" t="n">
        <x:f>G150-F150-SUM(H150:K150)</x:f>
        <x:v>-2.3283064365386963e-10</x:v>
      </x:c>
    </x:row>
    <x:row r="151" ht="19" customHeight="1">
      <x:c r="A151" s="1" t="str">
        <x:v>downside</x:v>
      </x:c>
      <x:c r="B151" s="1" t="str">
        <x:v>atlas-meridian</x:v>
      </x:c>
      <x:c r="C151" s="12" t="n">
        <x:v>2028</x:v>
      </x:c>
      <x:c r="D151" s="1" t="str">
        <x:v>revised</x:v>
      </x:c>
      <x:c r="E151" s="1" t="str">
        <x:v>revenue_usd</x:v>
      </x:c>
      <x:c r="F151" s="13" t="n">
        <x:v>4453380</x:v>
      </x:c>
      <x:c r="G151" s="13" t="n">
        <x:v>4673478.6</x:v>
      </x:c>
      <x:c r="H151" s="13" t="n">
        <x:v>31098.6</x:v>
      </x:c>
      <x:c r="I151" s="13" t="n">
        <x:v>189000</x:v>
      </x:c>
      <x:c r="J151" s="13" t="n">
        <x:v>0</x:v>
      </x:c>
      <x:c r="K151" s="13" t="n">
        <x:v>0</x:v>
      </x:c>
      <x:c r="L151" s="14" t="n">
        <x:f>G151-F151-SUM(H151:K151)</x:f>
        <x:v>-3.7834979593753815e-10</x:v>
      </x:c>
    </x:row>
    <x:row r="152" ht="19" customHeight="1">
      <x:c r="A152" s="1" t="str">
        <x:v>downside</x:v>
      </x:c>
      <x:c r="B152" s="1" t="str">
        <x:v>atlas-meridian</x:v>
      </x:c>
      <x:c r="C152" s="12" t="n">
        <x:v>2028</x:v>
      </x:c>
      <x:c r="D152" s="1" t="str">
        <x:v>synthetic_outturn</x:v>
      </x:c>
      <x:c r="E152" s="1" t="str">
        <x:v>net_income_usd</x:v>
      </x:c>
      <x:c r="F152" s="13" t="n">
        <x:v>-3284867.3642</x:v>
      </x:c>
      <x:c r="G152" s="13" t="n">
        <x:v>-3271450.6682</x:v>
      </x:c>
      <x:c r="H152" s="13" t="n">
        <x:v>0</x:v>
      </x:c>
      <x:c r="I152" s="13" t="n">
        <x:v>0</x:v>
      </x:c>
      <x:c r="J152" s="13" t="n">
        <x:v>13416.696</x:v>
      </x:c>
      <x:c r="K152" s="13" t="n">
        <x:v>0</x:v>
      </x:c>
      <x:c r="L152" s="14" t="n">
        <x:f>G152-F152-SUM(H152:K152)</x:f>
        <x:v>-3.637978807091713e-12</x:v>
      </x:c>
    </x:row>
    <x:row r="153" ht="19" customHeight="1">
      <x:c r="A153" s="1" t="str">
        <x:v>downside</x:v>
      </x:c>
      <x:c r="B153" s="1" t="str">
        <x:v>atlas-meridian</x:v>
      </x:c>
      <x:c r="C153" s="12" t="n">
        <x:v>2028</x:v>
      </x:c>
      <x:c r="D153" s="1" t="str">
        <x:v>synthetic_outturn</x:v>
      </x:c>
      <x:c r="E153" s="1" t="str">
        <x:v>revenue_usd</x:v>
      </x:c>
      <x:c r="F153" s="13" t="n">
        <x:v>4673478.6</x:v>
      </x:c>
      <x:c r="G153" s="13" t="n">
        <x:v>4688866.8</x:v>
      </x:c>
      <x:c r="H153" s="13" t="n">
        <x:v>0</x:v>
      </x:c>
      <x:c r="I153" s="13" t="n">
        <x:v>0</x:v>
      </x:c>
      <x:c r="J153" s="13" t="n">
        <x:v>15388.2</x:v>
      </x:c>
      <x:c r="K153" s="13" t="n">
        <x:v>0</x:v>
      </x:c>
      <x:c r="L153" s="14" t="n">
        <x:f>G153-F153-SUM(H153:K153)</x:f>
        <x:v>1.8553691916167736e-10</x:v>
      </x:c>
    </x:row>
    <x:row r="154" ht="19" customHeight="1">
      <x:c r="A154" s="1" t="str">
        <x:v>downside</x:v>
      </x:c>
      <x:c r="B154" s="1" t="str">
        <x:v>atlas-meridian</x:v>
      </x:c>
      <x:c r="C154" s="12" t="n">
        <x:v>2029</x:v>
      </x:c>
      <x:c r="D154" s="1" t="str">
        <x:v>revised</x:v>
      </x:c>
      <x:c r="E154" s="1" t="str">
        <x:v>net_income_usd</x:v>
      </x:c>
      <x:c r="F154" s="13" t="n">
        <x:v>-3724612.7652</x:v>
      </x:c>
      <x:c r="G154" s="13" t="n">
        <x:v>-3529098.1162</x:v>
      </x:c>
      <x:c r="H154" s="13" t="n">
        <x:v>28939.248</x:v>
      </x:c>
      <x:c r="I154" s="13" t="n">
        <x:v>166575.401</x:v>
      </x:c>
      <x:c r="J154" s="13" t="n">
        <x:v>0</x:v>
      </x:c>
      <x:c r="K154" s="13" t="n">
        <x:v>0</x:v>
      </x:c>
      <x:c r="L154" s="14" t="n">
        <x:f>G154-F154-SUM(H154:K154)</x:f>
        <x:v>-2.6193447411060333e-10</x:v>
      </x:c>
    </x:row>
    <x:row r="155" ht="19" customHeight="1">
      <x:c r="A155" s="1" t="str">
        <x:v>downside</x:v>
      </x:c>
      <x:c r="B155" s="1" t="str">
        <x:v>atlas-meridian</x:v>
      </x:c>
      <x:c r="C155" s="12" t="n">
        <x:v>2029</x:v>
      </x:c>
      <x:c r="D155" s="1" t="str">
        <x:v>revised</x:v>
      </x:c>
      <x:c r="E155" s="1" t="str">
        <x:v>revenue_usd</x:v>
      </x:c>
      <x:c r="F155" s="13" t="n">
        <x:v>4420195.2</x:v>
      </x:c>
      <x:c r="G155" s="13" t="n">
        <x:v>4638168.144</x:v>
      </x:c>
      <x:c r="H155" s="13" t="n">
        <x:v>28972.944</x:v>
      </x:c>
      <x:c r="I155" s="13" t="n">
        <x:v>189000</x:v>
      </x:c>
      <x:c r="J155" s="13" t="n">
        <x:v>0</x:v>
      </x:c>
      <x:c r="K155" s="13" t="n">
        <x:v>0</x:v>
      </x:c>
      <x:c r="L155" s="14" t="n">
        <x:f>G155-F155-SUM(H155:K155)</x:f>
        <x:v>1.4551915228366852e-10</x:v>
      </x:c>
    </x:row>
    <x:row r="156" ht="19" customHeight="1">
      <x:c r="A156" s="1" t="str">
        <x:v>downside</x:v>
      </x:c>
      <x:c r="B156" s="1" t="str">
        <x:v>atlas-meridian</x:v>
      </x:c>
      <x:c r="C156" s="12" t="n">
        <x:v>2029</x:v>
      </x:c>
      <x:c r="D156" s="1" t="str">
        <x:v>synthetic_outturn</x:v>
      </x:c>
      <x:c r="E156" s="1" t="str">
        <x:v>net_income_usd</x:v>
      </x:c>
      <x:c r="F156" s="13" t="n">
        <x:v>-3529098.1162</x:v>
      </x:c>
      <x:c r="G156" s="13" t="n">
        <x:v>-3532329.7124</x:v>
      </x:c>
      <x:c r="H156" s="13" t="n">
        <x:v>0</x:v>
      </x:c>
      <x:c r="I156" s="13" t="n">
        <x:v>0</x:v>
      </x:c>
      <x:c r="J156" s="13" t="n">
        <x:v>-3231.5962</x:v>
      </x:c>
      <x:c r="K156" s="13" t="n">
        <x:v>0</x:v>
      </x:c>
      <x:c r="L156" s="14" t="n">
        <x:f>G156-F156-SUM(H156:K156)</x:f>
        <x:v>-2.9103830456733704e-11</x:v>
      </x:c>
    </x:row>
    <x:row r="157" ht="19" customHeight="1">
      <x:c r="A157" s="1" t="str">
        <x:v>downside</x:v>
      </x:c>
      <x:c r="B157" s="1" t="str">
        <x:v>atlas-meridian</x:v>
      </x:c>
      <x:c r="C157" s="12" t="n">
        <x:v>2029</x:v>
      </x:c>
      <x:c r="D157" s="1" t="str">
        <x:v>synthetic_outturn</x:v>
      </x:c>
      <x:c r="E157" s="1" t="str">
        <x:v>revenue_usd</x:v>
      </x:c>
      <x:c r="F157" s="13" t="n">
        <x:v>4638168.144</x:v>
      </x:c>
      <x:c r="G157" s="13" t="n">
        <x:v>4634890.272</x:v>
      </x:c>
      <x:c r="H157" s="13" t="n">
        <x:v>0</x:v>
      </x:c>
      <x:c r="I157" s="13" t="n">
        <x:v>0</x:v>
      </x:c>
      <x:c r="J157" s="13" t="n">
        <x:v>-3277.872</x:v>
      </x:c>
      <x:c r="K157" s="13" t="n">
        <x:v>0</x:v>
      </x:c>
      <x:c r="L157" s="14" t="n">
        <x:f>G157-F157-SUM(H157:K157)</x:f>
        <x:v>-4.397406883072108e-10</x:v>
      </x:c>
    </x:row>
    <x:row r="158" ht="19" customHeight="1">
      <x:c r="A158" s="1" t="str">
        <x:v>downside</x:v>
      </x:c>
      <x:c r="B158" s="1" t="str">
        <x:v>atlas-meridian</x:v>
      </x:c>
      <x:c r="C158" s="12" t="n">
        <x:v>2030</x:v>
      </x:c>
      <x:c r="D158" s="1" t="str">
        <x:v>revised</x:v>
      </x:c>
      <x:c r="E158" s="1" t="str">
        <x:v>net_income_usd</x:v>
      </x:c>
      <x:c r="F158" s="13" t="n">
        <x:v>-3854259.2892</x:v>
      </x:c>
      <x:c r="G158" s="13" t="n">
        <x:v>-3657587.0703</x:v>
      </x:c>
      <x:c r="H158" s="13" t="n">
        <x:v>30096.8179</x:v>
      </x:c>
      <x:c r="I158" s="13" t="n">
        <x:v>166575.401</x:v>
      </x:c>
      <x:c r="J158" s="13" t="n">
        <x:v>0</x:v>
      </x:c>
      <x:c r="K158" s="13" t="n">
        <x:v>0</x:v>
      </x:c>
      <x:c r="L158" s="14" t="n">
        <x:f>G158-F158-SUM(H158:K158)</x:f>
        <x:v>2.0372681319713593e-10</x:v>
      </x:c>
    </x:row>
    <x:row r="159" ht="19" customHeight="1">
      <x:c r="A159" s="1" t="str">
        <x:v>downside</x:v>
      </x:c>
      <x:c r="B159" s="1" t="str">
        <x:v>atlas-meridian</x:v>
      </x:c>
      <x:c r="C159" s="12" t="n">
        <x:v>2030</x:v>
      </x:c>
      <x:c r="D159" s="1" t="str">
        <x:v>revised</x:v>
      </x:c>
      <x:c r="E159" s="1" t="str">
        <x:v>revenue_usd</x:v>
      </x:c>
      <x:c r="F159" s="13" t="n">
        <x:v>4521403.008</x:v>
      </x:c>
      <x:c r="G159" s="13" t="n">
        <x:v>4740534.8698</x:v>
      </x:c>
      <x:c r="H159" s="13" t="n">
        <x:v>30131.8618</x:v>
      </x:c>
      <x:c r="I159" s="13" t="n">
        <x:v>189000</x:v>
      </x:c>
      <x:c r="J159" s="13" t="n">
        <x:v>0</x:v>
      </x:c>
      <x:c r="K159" s="13" t="n">
        <x:v>0</x:v>
      </x:c>
      <x:c r="L159" s="14" t="n">
        <x:f>G159-F159-SUM(H159:K159)</x:f>
        <x:v>5.820766091346741e-11</x:v>
      </x:c>
    </x:row>
    <x:row r="160" ht="19" customHeight="1">
      <x:c r="A160" s="1" t="str">
        <x:v>downside</x:v>
      </x:c>
      <x:c r="B160" s="1" t="str">
        <x:v>atlas-meridian</x:v>
      </x:c>
      <x:c r="C160" s="12" t="n">
        <x:v>2030</x:v>
      </x:c>
      <x:c r="D160" s="1" t="str">
        <x:v>synthetic_outturn</x:v>
      </x:c>
      <x:c r="E160" s="1" t="str">
        <x:v>net_income_usd</x:v>
      </x:c>
      <x:c r="F160" s="13" t="n">
        <x:v>-3657587.0703</x:v>
      </x:c>
      <x:c r="G160" s="13" t="n">
        <x:v>-3660947.9303</x:v>
      </x:c>
      <x:c r="H160" s="13" t="n">
        <x:v>0</x:v>
      </x:c>
      <x:c r="I160" s="13" t="n">
        <x:v>0</x:v>
      </x:c>
      <x:c r="J160" s="13" t="n">
        <x:v>-3360.86</x:v>
      </x:c>
      <x:c r="K160" s="13" t="n">
        <x:v>0</x:v>
      </x:c>
      <x:c r="L160" s="14" t="n">
        <x:f>G160-F160-SUM(H160:K160)</x:f>
        <x:v>-3.3514879760332406e-10</x:v>
      </x:c>
    </x:row>
    <x:row r="161" ht="19" customHeight="1">
      <x:c r="A161" s="1" t="str">
        <x:v>downside</x:v>
      </x:c>
      <x:c r="B161" s="1" t="str">
        <x:v>atlas-meridian</x:v>
      </x:c>
      <x:c r="C161" s="12" t="n">
        <x:v>2030</x:v>
      </x:c>
      <x:c r="D161" s="1" t="str">
        <x:v>synthetic_outturn</x:v>
      </x:c>
      <x:c r="E161" s="1" t="str">
        <x:v>revenue_usd</x:v>
      </x:c>
      <x:c r="F161" s="13" t="n">
        <x:v>4740534.8698</x:v>
      </x:c>
      <x:c r="G161" s="13" t="n">
        <x:v>4737125.8829</x:v>
      </x:c>
      <x:c r="H161" s="13" t="n">
        <x:v>0</x:v>
      </x:c>
      <x:c r="I161" s="13" t="n">
        <x:v>0</x:v>
      </x:c>
      <x:c r="J161" s="13" t="n">
        <x:v>-3408.9869</x:v>
      </x:c>
      <x:c r="K161" s="13" t="n">
        <x:v>0</x:v>
      </x:c>
      <x:c r="L161" s="14" t="n">
        <x:f>G161-F161-SUM(H161:K161)</x:f>
        <x:v>-8.330971468240023e-10</x:v>
      </x:c>
    </x:row>
    <x:row r="162" ht="19" customHeight="1">
      <x:c r="A162" s="1" t="str">
        <x:v>downside</x:v>
      </x:c>
      <x:c r="B162" s="1" t="str">
        <x:v>atlas-meridian</x:v>
      </x:c>
      <x:c r="C162" s="12" t="n">
        <x:v>2031</x:v>
      </x:c>
      <x:c r="D162" s="1" t="str">
        <x:v>revised</x:v>
      </x:c>
      <x:c r="E162" s="1" t="str">
        <x:v>net_income_usd</x:v>
      </x:c>
      <x:c r="F162" s="13" t="n">
        <x:v>-3986783.6095</x:v>
      </x:c>
      <x:c r="G162" s="13" t="n">
        <x:v>-3788907.5179</x:v>
      </x:c>
      <x:c r="H162" s="13" t="n">
        <x:v>31300.6906</x:v>
      </x:c>
      <x:c r="I162" s="13" t="n">
        <x:v>166575.401</x:v>
      </x:c>
      <x:c r="J162" s="13" t="n">
        <x:v>0</x:v>
      </x:c>
      <x:c r="K162" s="13" t="n">
        <x:v>0</x:v>
      </x:c>
      <x:c r="L162" s="14" t="n">
        <x:f>G162-F162-SUM(H162:K162)</x:f>
        <x:v>-8.731149137020111e-11</x:v>
      </x:c>
    </x:row>
    <x:row r="163" ht="19" customHeight="1">
      <x:c r="A163" s="1" t="str">
        <x:v>downside</x:v>
      </x:c>
      <x:c r="B163" s="1" t="str">
        <x:v>atlas-meridian</x:v>
      </x:c>
      <x:c r="C163" s="12" t="n">
        <x:v>2031</x:v>
      </x:c>
      <x:c r="D163" s="1" t="str">
        <x:v>revised</x:v>
      </x:c>
      <x:c r="E163" s="1" t="str">
        <x:v>revenue_usd</x:v>
      </x:c>
      <x:c r="F163" s="13" t="n">
        <x:v>4626659.13</x:v>
      </x:c>
      <x:c r="G163" s="13" t="n">
        <x:v>4846996.2661</x:v>
      </x:c>
      <x:c r="H163" s="13" t="n">
        <x:v>31337.1361</x:v>
      </x:c>
      <x:c r="I163" s="13" t="n">
        <x:v>189000</x:v>
      </x:c>
      <x:c r="J163" s="13" t="n">
        <x:v>0</x:v>
      </x:c>
      <x:c r="K163" s="13" t="n">
        <x:v>0</x:v>
      </x:c>
      <x:c r="L163" s="14" t="n">
        <x:f>G163-F163-SUM(H163:K163)</x:f>
        <x:v>-2.3283064365386963e-10</x:v>
      </x:c>
    </x:row>
    <x:row r="164" ht="19" customHeight="1">
      <x:c r="A164" s="1" t="str">
        <x:v>downside</x:v>
      </x:c>
      <x:c r="B164" s="1" t="str">
        <x:v>atlas-meridian</x:v>
      </x:c>
      <x:c r="C164" s="12" t="n">
        <x:v>2031</x:v>
      </x:c>
      <x:c r="D164" s="1" t="str">
        <x:v>synthetic_outturn</x:v>
      </x:c>
      <x:c r="E164" s="1" t="str">
        <x:v>net_income_usd</x:v>
      </x:c>
      <x:c r="F164" s="13" t="n">
        <x:v>-3788907.5179</x:v>
      </x:c>
      <x:c r="G164" s="13" t="n">
        <x:v>-3792402.8123</x:v>
      </x:c>
      <x:c r="H164" s="13" t="n">
        <x:v>0</x:v>
      </x:c>
      <x:c r="I164" s="13" t="n">
        <x:v>0</x:v>
      </x:c>
      <x:c r="J164" s="13" t="n">
        <x:v>-3495.2944</x:v>
      </x:c>
      <x:c r="K164" s="13" t="n">
        <x:v>0</x:v>
      </x:c>
      <x:c r="L164" s="14" t="n">
        <x:f>G164-F164-SUM(H164:K164)</x:f>
        <x:v>-1.318767317570746e-11</x:v>
      </x:c>
    </x:row>
    <x:row r="165" ht="19" customHeight="1">
      <x:c r="A165" s="1" t="str">
        <x:v>downside</x:v>
      </x:c>
      <x:c r="B165" s="1" t="str">
        <x:v>atlas-meridian</x:v>
      </x:c>
      <x:c r="C165" s="12" t="n">
        <x:v>2031</x:v>
      </x:c>
      <x:c r="D165" s="1" t="str">
        <x:v>synthetic_outturn</x:v>
      </x:c>
      <x:c r="E165" s="1" t="str">
        <x:v>revenue_usd</x:v>
      </x:c>
      <x:c r="F165" s="13" t="n">
        <x:v>4846996.2661</x:v>
      </x:c>
      <x:c r="G165" s="13" t="n">
        <x:v>4843450.9198</x:v>
      </x:c>
      <x:c r="H165" s="13" t="n">
        <x:v>0</x:v>
      </x:c>
      <x:c r="I165" s="13" t="n">
        <x:v>0</x:v>
      </x:c>
      <x:c r="J165" s="13" t="n">
        <x:v>-3545.3463</x:v>
      </x:c>
      <x:c r="K165" s="13" t="n">
        <x:v>0</x:v>
      </x:c>
      <x:c r="L165" s="14" t="n">
        <x:f>G165-F165-SUM(H165:K165)</x:f>
        <x:v>6.066329660825431e-10</x:v>
      </x:c>
    </x:row>
    <x:row r="166" ht="19" customHeight="1">
      <x:c r="A166" s="1" t="str">
        <x:v>downside</x:v>
      </x:c>
      <x:c r="B166" s="1" t="str">
        <x:v>corporate</x:v>
      </x:c>
      <x:c r="C166" s="12" t="n">
        <x:v>2027</x:v>
      </x:c>
      <x:c r="D166" s="1" t="str">
        <x:v>revised</x:v>
      </x:c>
      <x:c r="E166" s="1" t="str">
        <x:v>net_income_usd</x:v>
      </x:c>
      <x:c r="F166" s="13" t="n">
        <x:v>-39634606.6139</x:v>
      </x:c>
      <x:c r="G166" s="13" t="n">
        <x:v>-39634606.6139</x:v>
      </x:c>
      <x:c r="H166" s="13" t="n">
        <x:v>0</x:v>
      </x:c>
      <x:c r="I166" s="13" t="n">
        <x:v>0</x:v>
      </x:c>
      <x:c r="J166" s="13" t="n">
        <x:v>0</x:v>
      </x:c>
      <x:c r="K166" s="13" t="n">
        <x:v>0</x:v>
      </x:c>
      <x:c r="L166" s="14" t="n">
        <x:f>G166-F166-SUM(H166:K166)</x:f>
        <x:v>0</x:v>
      </x:c>
    </x:row>
    <x:row r="167" ht="19" customHeight="1">
      <x:c r="A167" s="1" t="str">
        <x:v>downside</x:v>
      </x:c>
      <x:c r="B167" s="1" t="str">
        <x:v>corporate</x:v>
      </x:c>
      <x:c r="C167" s="12" t="n">
        <x:v>2027</x:v>
      </x:c>
      <x:c r="D167" s="1" t="str">
        <x:v>revised</x:v>
      </x:c>
      <x:c r="E167" s="1" t="str">
        <x:v>revenue_usd</x:v>
      </x:c>
      <x:c r="F167" s="13" t="n">
        <x:v>0</x:v>
      </x:c>
      <x:c r="G167" s="13" t="n">
        <x:v>0</x:v>
      </x:c>
      <x:c r="H167" s="13" t="n">
        <x:v>0</x:v>
      </x:c>
      <x:c r="I167" s="13" t="n">
        <x:v>0</x:v>
      </x:c>
      <x:c r="J167" s="13" t="n">
        <x:v>0</x:v>
      </x:c>
      <x:c r="K167" s="13" t="n">
        <x:v>0</x:v>
      </x:c>
      <x:c r="L167" s="14" t="n">
        <x:f>G167-F167-SUM(H167:K167)</x:f>
        <x:v>0</x:v>
      </x:c>
    </x:row>
    <x:row r="168" ht="19" customHeight="1">
      <x:c r="A168" s="1" t="str">
        <x:v>downside</x:v>
      </x:c>
      <x:c r="B168" s="1" t="str">
        <x:v>corporate</x:v>
      </x:c>
      <x:c r="C168" s="12" t="n">
        <x:v>2027</x:v>
      </x:c>
      <x:c r="D168" s="1" t="str">
        <x:v>synthetic_outturn</x:v>
      </x:c>
      <x:c r="E168" s="1" t="str">
        <x:v>net_income_usd</x:v>
      </x:c>
      <x:c r="F168" s="13" t="n">
        <x:v>-39634606.6139</x:v>
      </x:c>
      <x:c r="G168" s="13" t="n">
        <x:v>-39634606.6139</x:v>
      </x:c>
      <x:c r="H168" s="13" t="n">
        <x:v>0</x:v>
      </x:c>
      <x:c r="I168" s="13" t="n">
        <x:v>0</x:v>
      </x:c>
      <x:c r="J168" s="13" t="n">
        <x:v>0</x:v>
      </x:c>
      <x:c r="K168" s="13" t="n">
        <x:v>0</x:v>
      </x:c>
      <x:c r="L168" s="14" t="n">
        <x:f>G168-F168-SUM(H168:K168)</x:f>
        <x:v>0</x:v>
      </x:c>
    </x:row>
    <x:row r="169" ht="19" customHeight="1">
      <x:c r="A169" s="1" t="str">
        <x:v>downside</x:v>
      </x:c>
      <x:c r="B169" s="1" t="str">
        <x:v>corporate</x:v>
      </x:c>
      <x:c r="C169" s="12" t="n">
        <x:v>2027</x:v>
      </x:c>
      <x:c r="D169" s="1" t="str">
        <x:v>synthetic_outturn</x:v>
      </x:c>
      <x:c r="E169" s="1" t="str">
        <x:v>revenue_usd</x:v>
      </x:c>
      <x:c r="F169" s="13" t="n">
        <x:v>0</x:v>
      </x:c>
      <x:c r="G169" s="13" t="n">
        <x:v>0</x:v>
      </x:c>
      <x:c r="H169" s="13" t="n">
        <x:v>0</x:v>
      </x:c>
      <x:c r="I169" s="13" t="n">
        <x:v>0</x:v>
      </x:c>
      <x:c r="J169" s="13" t="n">
        <x:v>0</x:v>
      </x:c>
      <x:c r="K169" s="13" t="n">
        <x:v>0</x:v>
      </x:c>
      <x:c r="L169" s="14" t="n">
        <x:f>G169-F169-SUM(H169:K169)</x:f>
        <x:v>0</x:v>
      </x:c>
    </x:row>
    <x:row r="170" ht="19" customHeight="1">
      <x:c r="A170" s="1" t="str">
        <x:v>downside</x:v>
      </x:c>
      <x:c r="B170" s="1" t="str">
        <x:v>corporate</x:v>
      </x:c>
      <x:c r="C170" s="12" t="n">
        <x:v>2028</x:v>
      </x:c>
      <x:c r="D170" s="1" t="str">
        <x:v>revised</x:v>
      </x:c>
      <x:c r="E170" s="1" t="str">
        <x:v>net_income_usd</x:v>
      </x:c>
      <x:c r="F170" s="13" t="n">
        <x:v>-41074935.9476</x:v>
      </x:c>
      <x:c r="G170" s="13" t="n">
        <x:v>-41074935.9476</x:v>
      </x:c>
      <x:c r="H170" s="13" t="n">
        <x:v>0</x:v>
      </x:c>
      <x:c r="I170" s="13" t="n">
        <x:v>0</x:v>
      </x:c>
      <x:c r="J170" s="13" t="n">
        <x:v>0</x:v>
      </x:c>
      <x:c r="K170" s="13" t="n">
        <x:v>0</x:v>
      </x:c>
      <x:c r="L170" s="14" t="n">
        <x:f>G170-F170-SUM(H170:K170)</x:f>
        <x:v>0</x:v>
      </x:c>
    </x:row>
    <x:row r="171" ht="19" customHeight="1">
      <x:c r="A171" s="1" t="str">
        <x:v>downside</x:v>
      </x:c>
      <x:c r="B171" s="1" t="str">
        <x:v>corporate</x:v>
      </x:c>
      <x:c r="C171" s="12" t="n">
        <x:v>2028</x:v>
      </x:c>
      <x:c r="D171" s="1" t="str">
        <x:v>revised</x:v>
      </x:c>
      <x:c r="E171" s="1" t="str">
        <x:v>revenue_usd</x:v>
      </x:c>
      <x:c r="F171" s="13" t="n">
        <x:v>0</x:v>
      </x:c>
      <x:c r="G171" s="13" t="n">
        <x:v>0</x:v>
      </x:c>
      <x:c r="H171" s="13" t="n">
        <x:v>0</x:v>
      </x:c>
      <x:c r="I171" s="13" t="n">
        <x:v>0</x:v>
      </x:c>
      <x:c r="J171" s="13" t="n">
        <x:v>0</x:v>
      </x:c>
      <x:c r="K171" s="13" t="n">
        <x:v>0</x:v>
      </x:c>
      <x:c r="L171" s="14" t="n">
        <x:f>G171-F171-SUM(H171:K171)</x:f>
        <x:v>0</x:v>
      </x:c>
    </x:row>
    <x:row r="172" ht="19" customHeight="1">
      <x:c r="A172" s="1" t="str">
        <x:v>downside</x:v>
      </x:c>
      <x:c r="B172" s="1" t="str">
        <x:v>corporate</x:v>
      </x:c>
      <x:c r="C172" s="12" t="n">
        <x:v>2028</x:v>
      </x:c>
      <x:c r="D172" s="1" t="str">
        <x:v>synthetic_outturn</x:v>
      </x:c>
      <x:c r="E172" s="1" t="str">
        <x:v>net_income_usd</x:v>
      </x:c>
      <x:c r="F172" s="13" t="n">
        <x:v>-41074935.9476</x:v>
      </x:c>
      <x:c r="G172" s="13" t="n">
        <x:v>-41074935.9476</x:v>
      </x:c>
      <x:c r="H172" s="13" t="n">
        <x:v>0</x:v>
      </x:c>
      <x:c r="I172" s="13" t="n">
        <x:v>0</x:v>
      </x:c>
      <x:c r="J172" s="13" t="n">
        <x:v>0</x:v>
      </x:c>
      <x:c r="K172" s="13" t="n">
        <x:v>0</x:v>
      </x:c>
      <x:c r="L172" s="14" t="n">
        <x:f>G172-F172-SUM(H172:K172)</x:f>
        <x:v>0</x:v>
      </x:c>
    </x:row>
    <x:row r="173" ht="19" customHeight="1">
      <x:c r="A173" s="1" t="str">
        <x:v>downside</x:v>
      </x:c>
      <x:c r="B173" s="1" t="str">
        <x:v>corporate</x:v>
      </x:c>
      <x:c r="C173" s="12" t="n">
        <x:v>2028</x:v>
      </x:c>
      <x:c r="D173" s="1" t="str">
        <x:v>synthetic_outturn</x:v>
      </x:c>
      <x:c r="E173" s="1" t="str">
        <x:v>revenue_usd</x:v>
      </x:c>
      <x:c r="F173" s="13" t="n">
        <x:v>0</x:v>
      </x:c>
      <x:c r="G173" s="13" t="n">
        <x:v>0</x:v>
      </x:c>
      <x:c r="H173" s="13" t="n">
        <x:v>0</x:v>
      </x:c>
      <x:c r="I173" s="13" t="n">
        <x:v>0</x:v>
      </x:c>
      <x:c r="J173" s="13" t="n">
        <x:v>0</x:v>
      </x:c>
      <x:c r="K173" s="13" t="n">
        <x:v>0</x:v>
      </x:c>
      <x:c r="L173" s="14" t="n">
        <x:f>G173-F173-SUM(H173:K173)</x:f>
        <x:v>0</x:v>
      </x:c>
    </x:row>
    <x:row r="174" ht="19" customHeight="1">
      <x:c r="A174" s="1" t="str">
        <x:v>downside</x:v>
      </x:c>
      <x:c r="B174" s="1" t="str">
        <x:v>corporate</x:v>
      </x:c>
      <x:c r="C174" s="12" t="n">
        <x:v>2029</x:v>
      </x:c>
      <x:c r="D174" s="1" t="str">
        <x:v>revised</x:v>
      </x:c>
      <x:c r="E174" s="1" t="str">
        <x:v>net_income_usd</x:v>
      </x:c>
      <x:c r="F174" s="13" t="n">
        <x:v>-42291176.4276</x:v>
      </x:c>
      <x:c r="G174" s="13" t="n">
        <x:v>-42291176.4276</x:v>
      </x:c>
      <x:c r="H174" s="13" t="n">
        <x:v>0</x:v>
      </x:c>
      <x:c r="I174" s="13" t="n">
        <x:v>0</x:v>
      </x:c>
      <x:c r="J174" s="13" t="n">
        <x:v>0</x:v>
      </x:c>
      <x:c r="K174" s="13" t="n">
        <x:v>0</x:v>
      </x:c>
      <x:c r="L174" s="14" t="n">
        <x:f>G174-F174-SUM(H174:K174)</x:f>
        <x:v>0</x:v>
      </x:c>
    </x:row>
    <x:row r="175" ht="19" customHeight="1">
      <x:c r="A175" s="1" t="str">
        <x:v>downside</x:v>
      </x:c>
      <x:c r="B175" s="1" t="str">
        <x:v>corporate</x:v>
      </x:c>
      <x:c r="C175" s="12" t="n">
        <x:v>2029</x:v>
      </x:c>
      <x:c r="D175" s="1" t="str">
        <x:v>revised</x:v>
      </x:c>
      <x:c r="E175" s="1" t="str">
        <x:v>revenue_usd</x:v>
      </x:c>
      <x:c r="F175" s="13" t="n">
        <x:v>0</x:v>
      </x:c>
      <x:c r="G175" s="13" t="n">
        <x:v>0</x:v>
      </x:c>
      <x:c r="H175" s="13" t="n">
        <x:v>0</x:v>
      </x:c>
      <x:c r="I175" s="13" t="n">
        <x:v>0</x:v>
      </x:c>
      <x:c r="J175" s="13" t="n">
        <x:v>0</x:v>
      </x:c>
      <x:c r="K175" s="13" t="n">
        <x:v>0</x:v>
      </x:c>
      <x:c r="L175" s="14" t="n">
        <x:f>G175-F175-SUM(H175:K175)</x:f>
        <x:v>0</x:v>
      </x:c>
    </x:row>
    <x:row r="176" ht="19" customHeight="1">
      <x:c r="A176" s="1" t="str">
        <x:v>downside</x:v>
      </x:c>
      <x:c r="B176" s="1" t="str">
        <x:v>corporate</x:v>
      </x:c>
      <x:c r="C176" s="12" t="n">
        <x:v>2029</x:v>
      </x:c>
      <x:c r="D176" s="1" t="str">
        <x:v>synthetic_outturn</x:v>
      </x:c>
      <x:c r="E176" s="1" t="str">
        <x:v>net_income_usd</x:v>
      </x:c>
      <x:c r="F176" s="13" t="n">
        <x:v>-42291176.4276</x:v>
      </x:c>
      <x:c r="G176" s="13" t="n">
        <x:v>-42291176.4276</x:v>
      </x:c>
      <x:c r="H176" s="13" t="n">
        <x:v>0</x:v>
      </x:c>
      <x:c r="I176" s="13" t="n">
        <x:v>0</x:v>
      </x:c>
      <x:c r="J176" s="13" t="n">
        <x:v>0</x:v>
      </x:c>
      <x:c r="K176" s="13" t="n">
        <x:v>0</x:v>
      </x:c>
      <x:c r="L176" s="14" t="n">
        <x:f>G176-F176-SUM(H176:K176)</x:f>
        <x:v>0</x:v>
      </x:c>
    </x:row>
    <x:row r="177" ht="19" customHeight="1">
      <x:c r="A177" s="1" t="str">
        <x:v>downside</x:v>
      </x:c>
      <x:c r="B177" s="1" t="str">
        <x:v>corporate</x:v>
      </x:c>
      <x:c r="C177" s="12" t="n">
        <x:v>2029</x:v>
      </x:c>
      <x:c r="D177" s="1" t="str">
        <x:v>synthetic_outturn</x:v>
      </x:c>
      <x:c r="E177" s="1" t="str">
        <x:v>revenue_usd</x:v>
      </x:c>
      <x:c r="F177" s="13" t="n">
        <x:v>0</x:v>
      </x:c>
      <x:c r="G177" s="13" t="n">
        <x:v>0</x:v>
      </x:c>
      <x:c r="H177" s="13" t="n">
        <x:v>0</x:v>
      </x:c>
      <x:c r="I177" s="13" t="n">
        <x:v>0</x:v>
      </x:c>
      <x:c r="J177" s="13" t="n">
        <x:v>0</x:v>
      </x:c>
      <x:c r="K177" s="13" t="n">
        <x:v>0</x:v>
      </x:c>
      <x:c r="L177" s="14" t="n">
        <x:f>G177-F177-SUM(H177:K177)</x:f>
        <x:v>0</x:v>
      </x:c>
    </x:row>
    <x:row r="178" ht="19" customHeight="1">
      <x:c r="A178" s="1" t="str">
        <x:v>downside</x:v>
      </x:c>
      <x:c r="B178" s="1" t="str">
        <x:v>corporate</x:v>
      </x:c>
      <x:c r="C178" s="12" t="n">
        <x:v>2030</x:v>
      </x:c>
      <x:c r="D178" s="1" t="str">
        <x:v>revised</x:v>
      </x:c>
      <x:c r="E178" s="1" t="str">
        <x:v>net_income_usd</x:v>
      </x:c>
      <x:c r="F178" s="13" t="n">
        <x:v>-43514198.922</x:v>
      </x:c>
      <x:c r="G178" s="13" t="n">
        <x:v>-43514198.922</x:v>
      </x:c>
      <x:c r="H178" s="13" t="n">
        <x:v>0</x:v>
      </x:c>
      <x:c r="I178" s="13" t="n">
        <x:v>0</x:v>
      </x:c>
      <x:c r="J178" s="13" t="n">
        <x:v>0</x:v>
      </x:c>
      <x:c r="K178" s="13" t="n">
        <x:v>0</x:v>
      </x:c>
      <x:c r="L178" s="14" t="n">
        <x:f>G178-F178-SUM(H178:K178)</x:f>
        <x:v>0</x:v>
      </x:c>
    </x:row>
    <x:row r="179" ht="19" customHeight="1">
      <x:c r="A179" s="1" t="str">
        <x:v>downside</x:v>
      </x:c>
      <x:c r="B179" s="1" t="str">
        <x:v>corporate</x:v>
      </x:c>
      <x:c r="C179" s="12" t="n">
        <x:v>2030</x:v>
      </x:c>
      <x:c r="D179" s="1" t="str">
        <x:v>revised</x:v>
      </x:c>
      <x:c r="E179" s="1" t="str">
        <x:v>revenue_usd</x:v>
      </x:c>
      <x:c r="F179" s="13" t="n">
        <x:v>0</x:v>
      </x:c>
      <x:c r="G179" s="13" t="n">
        <x:v>0</x:v>
      </x:c>
      <x:c r="H179" s="13" t="n">
        <x:v>0</x:v>
      </x:c>
      <x:c r="I179" s="13" t="n">
        <x:v>0</x:v>
      </x:c>
      <x:c r="J179" s="13" t="n">
        <x:v>0</x:v>
      </x:c>
      <x:c r="K179" s="13" t="n">
        <x:v>0</x:v>
      </x:c>
      <x:c r="L179" s="14" t="n">
        <x:f>G179-F179-SUM(H179:K179)</x:f>
        <x:v>0</x:v>
      </x:c>
    </x:row>
    <x:row r="180" ht="19" customHeight="1">
      <x:c r="A180" s="1" t="str">
        <x:v>downside</x:v>
      </x:c>
      <x:c r="B180" s="1" t="str">
        <x:v>corporate</x:v>
      </x:c>
      <x:c r="C180" s="12" t="n">
        <x:v>2030</x:v>
      </x:c>
      <x:c r="D180" s="1" t="str">
        <x:v>synthetic_outturn</x:v>
      </x:c>
      <x:c r="E180" s="1" t="str">
        <x:v>net_income_usd</x:v>
      </x:c>
      <x:c r="F180" s="13" t="n">
        <x:v>-43514198.922</x:v>
      </x:c>
      <x:c r="G180" s="13" t="n">
        <x:v>-43514198.922</x:v>
      </x:c>
      <x:c r="H180" s="13" t="n">
        <x:v>0</x:v>
      </x:c>
      <x:c r="I180" s="13" t="n">
        <x:v>0</x:v>
      </x:c>
      <x:c r="J180" s="13" t="n">
        <x:v>0</x:v>
      </x:c>
      <x:c r="K180" s="13" t="n">
        <x:v>0</x:v>
      </x:c>
      <x:c r="L180" s="14" t="n">
        <x:f>G180-F180-SUM(H180:K180)</x:f>
        <x:v>0</x:v>
      </x:c>
    </x:row>
    <x:row r="181" ht="19" customHeight="1">
      <x:c r="A181" s="1" t="str">
        <x:v>downside</x:v>
      </x:c>
      <x:c r="B181" s="1" t="str">
        <x:v>corporate</x:v>
      </x:c>
      <x:c r="C181" s="12" t="n">
        <x:v>2030</x:v>
      </x:c>
      <x:c r="D181" s="1" t="str">
        <x:v>synthetic_outturn</x:v>
      </x:c>
      <x:c r="E181" s="1" t="str">
        <x:v>revenue_usd</x:v>
      </x:c>
      <x:c r="F181" s="13" t="n">
        <x:v>0</x:v>
      </x:c>
      <x:c r="G181" s="13" t="n">
        <x:v>0</x:v>
      </x:c>
      <x:c r="H181" s="13" t="n">
        <x:v>0</x:v>
      </x:c>
      <x:c r="I181" s="13" t="n">
        <x:v>0</x:v>
      </x:c>
      <x:c r="J181" s="13" t="n">
        <x:v>0</x:v>
      </x:c>
      <x:c r="K181" s="13" t="n">
        <x:v>0</x:v>
      </x:c>
      <x:c r="L181" s="14" t="n">
        <x:f>G181-F181-SUM(H181:K181)</x:f>
        <x:v>0</x:v>
      </x:c>
    </x:row>
    <x:row r="182" ht="19" customHeight="1">
      <x:c r="A182" s="1" t="str">
        <x:v>downside</x:v>
      </x:c>
      <x:c r="B182" s="1" t="str">
        <x:v>corporate</x:v>
      </x:c>
      <x:c r="C182" s="12" t="n">
        <x:v>2031</x:v>
      </x:c>
      <x:c r="D182" s="1" t="str">
        <x:v>revised</x:v>
      </x:c>
      <x:c r="E182" s="1" t="str">
        <x:v>net_income_usd</x:v>
      </x:c>
      <x:c r="F182" s="13" t="n">
        <x:v>-44773912.1784</x:v>
      </x:c>
      <x:c r="G182" s="13" t="n">
        <x:v>-44773912.1784</x:v>
      </x:c>
      <x:c r="H182" s="13" t="n">
        <x:v>0</x:v>
      </x:c>
      <x:c r="I182" s="13" t="n">
        <x:v>0</x:v>
      </x:c>
      <x:c r="J182" s="13" t="n">
        <x:v>0</x:v>
      </x:c>
      <x:c r="K182" s="13" t="n">
        <x:v>0</x:v>
      </x:c>
      <x:c r="L182" s="14" t="n">
        <x:f>G182-F182-SUM(H182:K182)</x:f>
        <x:v>0</x:v>
      </x:c>
    </x:row>
    <x:row r="183" ht="19" customHeight="1">
      <x:c r="A183" s="1" t="str">
        <x:v>downside</x:v>
      </x:c>
      <x:c r="B183" s="1" t="str">
        <x:v>corporate</x:v>
      </x:c>
      <x:c r="C183" s="12" t="n">
        <x:v>2031</x:v>
      </x:c>
      <x:c r="D183" s="1" t="str">
        <x:v>revised</x:v>
      </x:c>
      <x:c r="E183" s="1" t="str">
        <x:v>revenue_usd</x:v>
      </x:c>
      <x:c r="F183" s="13" t="n">
        <x:v>0</x:v>
      </x:c>
      <x:c r="G183" s="13" t="n">
        <x:v>0</x:v>
      </x:c>
      <x:c r="H183" s="13" t="n">
        <x:v>0</x:v>
      </x:c>
      <x:c r="I183" s="13" t="n">
        <x:v>0</x:v>
      </x:c>
      <x:c r="J183" s="13" t="n">
        <x:v>0</x:v>
      </x:c>
      <x:c r="K183" s="13" t="n">
        <x:v>0</x:v>
      </x:c>
      <x:c r="L183" s="14" t="n">
        <x:f>G183-F183-SUM(H183:K183)</x:f>
        <x:v>0</x:v>
      </x:c>
    </x:row>
    <x:row r="184" ht="19" customHeight="1">
      <x:c r="A184" s="1" t="str">
        <x:v>downside</x:v>
      </x:c>
      <x:c r="B184" s="1" t="str">
        <x:v>corporate</x:v>
      </x:c>
      <x:c r="C184" s="12" t="n">
        <x:v>2031</x:v>
      </x:c>
      <x:c r="D184" s="1" t="str">
        <x:v>synthetic_outturn</x:v>
      </x:c>
      <x:c r="E184" s="1" t="str">
        <x:v>net_income_usd</x:v>
      </x:c>
      <x:c r="F184" s="13" t="n">
        <x:v>-44773912.1784</x:v>
      </x:c>
      <x:c r="G184" s="13" t="n">
        <x:v>-44773912.1784</x:v>
      </x:c>
      <x:c r="H184" s="13" t="n">
        <x:v>0</x:v>
      </x:c>
      <x:c r="I184" s="13" t="n">
        <x:v>0</x:v>
      </x:c>
      <x:c r="J184" s="13" t="n">
        <x:v>0</x:v>
      </x:c>
      <x:c r="K184" s="13" t="n">
        <x:v>0</x:v>
      </x:c>
      <x:c r="L184" s="14" t="n">
        <x:f>G184-F184-SUM(H184:K184)</x:f>
        <x:v>0</x:v>
      </x:c>
    </x:row>
    <x:row r="185" ht="19" customHeight="1">
      <x:c r="A185" s="1" t="str">
        <x:v>downside</x:v>
      </x:c>
      <x:c r="B185" s="1" t="str">
        <x:v>corporate</x:v>
      </x:c>
      <x:c r="C185" s="12" t="n">
        <x:v>2031</x:v>
      </x:c>
      <x:c r="D185" s="1" t="str">
        <x:v>synthetic_outturn</x:v>
      </x:c>
      <x:c r="E185" s="1" t="str">
        <x:v>revenue_usd</x:v>
      </x:c>
      <x:c r="F185" s="13" t="n">
        <x:v>0</x:v>
      </x:c>
      <x:c r="G185" s="13" t="n">
        <x:v>0</x:v>
      </x:c>
      <x:c r="H185" s="13" t="n">
        <x:v>0</x:v>
      </x:c>
      <x:c r="I185" s="13" t="n">
        <x:v>0</x:v>
      </x:c>
      <x:c r="J185" s="13" t="n">
        <x:v>0</x:v>
      </x:c>
      <x:c r="K185" s="13" t="n">
        <x:v>0</x:v>
      </x:c>
      <x:c r="L185" s="14" t="n">
        <x:f>G185-F185-SUM(H185:K185)</x:f>
        <x:v>0</x:v>
      </x:c>
    </x:row>
    <x:row r="186" ht="19" customHeight="1">
      <x:c r="A186" s="1" t="str">
        <x:v>downside</x:v>
      </x:c>
      <x:c r="B186" s="1" t="str">
        <x:v>foundry-field</x:v>
      </x:c>
      <x:c r="C186" s="12" t="n">
        <x:v>2027</x:v>
      </x:c>
      <x:c r="D186" s="1" t="str">
        <x:v>revised</x:v>
      </x:c>
      <x:c r="E186" s="1" t="str">
        <x:v>net_income_usd</x:v>
      </x:c>
      <x:c r="F186" s="13" t="n">
        <x:v>22217709.3975</x:v>
      </x:c>
      <x:c r="G186" s="13" t="n">
        <x:v>22239557.7975</x:v>
      </x:c>
      <x:c r="H186" s="13" t="n">
        <x:v>21848.4</x:v>
      </x:c>
      <x:c r="I186" s="13" t="n">
        <x:v>0</x:v>
      </x:c>
      <x:c r="J186" s="13" t="n">
        <x:v>0</x:v>
      </x:c>
      <x:c r="K186" s="13" t="n">
        <x:v>0</x:v>
      </x:c>
      <x:c r="L186" s="14" t="n">
        <x:f>G186-F186-SUM(H186:K186)</x:f>
        <x:v>-1.4915713109076023e-9</x:v>
      </x:c>
    </x:row>
    <x:row r="187" ht="19" customHeight="1">
      <x:c r="A187" s="1" t="str">
        <x:v>downside</x:v>
      </x:c>
      <x:c r="B187" s="1" t="str">
        <x:v>foundry-field</x:v>
      </x:c>
      <x:c r="C187" s="12" t="n">
        <x:v>2027</x:v>
      </x:c>
      <x:c r="D187" s="1" t="str">
        <x:v>revised</x:v>
      </x:c>
      <x:c r="E187" s="1" t="str">
        <x:v>revenue_usd</x:v>
      </x:c>
      <x:c r="F187" s="13" t="n">
        <x:v>50561550</x:v>
      </x:c>
      <x:c r="G187" s="13" t="n">
        <x:v>50586120</x:v>
      </x:c>
      <x:c r="H187" s="13" t="n">
        <x:v>24570</x:v>
      </x:c>
      <x:c r="I187" s="13" t="n">
        <x:v>0</x:v>
      </x:c>
      <x:c r="J187" s="13" t="n">
        <x:v>0</x:v>
      </x:c>
      <x:c r="K187" s="13" t="n">
        <x:v>0</x:v>
      </x:c>
      <x:c r="L187" s="14" t="n">
        <x:f>G187-F187-SUM(H187:K187)</x:f>
        <x:v>0</x:v>
      </x:c>
    </x:row>
    <x:row r="188" ht="19" customHeight="1">
      <x:c r="A188" s="1" t="str">
        <x:v>downside</x:v>
      </x:c>
      <x:c r="B188" s="1" t="str">
        <x:v>foundry-field</x:v>
      </x:c>
      <x:c r="C188" s="12" t="n">
        <x:v>2027</x:v>
      </x:c>
      <x:c r="D188" s="1" t="str">
        <x:v>synthetic_outturn</x:v>
      </x:c>
      <x:c r="E188" s="1" t="str">
        <x:v>net_income_usd</x:v>
      </x:c>
      <x:c r="F188" s="13" t="n">
        <x:v>22239557.7975</x:v>
      </x:c>
      <x:c r="G188" s="13" t="n">
        <x:v>21850151.931</x:v>
      </x:c>
      <x:c r="H188" s="13" t="n">
        <x:v>0</x:v>
      </x:c>
      <x:c r="I188" s="13" t="n">
        <x:v>0</x:v>
      </x:c>
      <x:c r="J188" s="13" t="n">
        <x:v>-321739.2</x:v>
      </x:c>
      <x:c r="K188" s="13" t="n">
        <x:v>-67666.6665</x:v>
      </x:c>
      <x:c r="L188" s="14" t="n">
        <x:f>G188-F188-SUM(H188:K188)</x:f>
        <x:v>2.3283064365386963e-9</x:v>
      </x:c>
    </x:row>
    <x:row r="189" ht="19" customHeight="1">
      <x:c r="A189" s="1" t="str">
        <x:v>downside</x:v>
      </x:c>
      <x:c r="B189" s="1" t="str">
        <x:v>foundry-field</x:v>
      </x:c>
      <x:c r="C189" s="12" t="n">
        <x:v>2027</x:v>
      </x:c>
      <x:c r="D189" s="1" t="str">
        <x:v>synthetic_outturn</x:v>
      </x:c>
      <x:c r="E189" s="1" t="str">
        <x:v>revenue_usd</x:v>
      </x:c>
      <x:c r="F189" s="13" t="n">
        <x:v>50586120</x:v>
      </x:c>
      <x:c r="G189" s="13" t="n">
        <x:v>50233860</x:v>
      </x:c>
      <x:c r="H189" s="13" t="n">
        <x:v>0</x:v>
      </x:c>
      <x:c r="I189" s="13" t="n">
        <x:v>0</x:v>
      </x:c>
      <x:c r="J189" s="13" t="n">
        <x:v>-352260</x:v>
      </x:c>
      <x:c r="K189" s="13" t="n">
        <x:v>0</x:v>
      </x:c>
      <x:c r="L189" s="14" t="n">
        <x:f>G189-F189-SUM(H189:K189)</x:f>
        <x:v>0</x:v>
      </x:c>
    </x:row>
    <x:row r="190" ht="19" customHeight="1">
      <x:c r="A190" s="1" t="str">
        <x:v>downside</x:v>
      </x:c>
      <x:c r="B190" s="1" t="str">
        <x:v>foundry-field</x:v>
      </x:c>
      <x:c r="C190" s="12" t="n">
        <x:v>2028</x:v>
      </x:c>
      <x:c r="D190" s="1" t="str">
        <x:v>revised</x:v>
      </x:c>
      <x:c r="E190" s="1" t="str">
        <x:v>net_income_usd</x:v>
      </x:c>
      <x:c r="F190" s="13" t="n">
        <x:v>19782634.7844</x:v>
      </x:c>
      <x:c r="G190" s="13" t="n">
        <x:v>20035086.2964</x:v>
      </x:c>
      <x:c r="H190" s="13" t="n">
        <x:v>252451.512</x:v>
      </x:c>
      <x:c r="I190" s="13" t="n">
        <x:v>0</x:v>
      </x:c>
      <x:c r="J190" s="13" t="n">
        <x:v>0</x:v>
      </x:c>
      <x:c r="K190" s="13" t="n">
        <x:v>0</x:v>
      </x:c>
      <x:c r="L190" s="14" t="n">
        <x:f>G190-F190-SUM(H190:K190)</x:f>
        <x:v>-1.7462298274040222e-9</x:v>
      </x:c>
    </x:row>
    <x:row r="191" ht="19" customHeight="1">
      <x:c r="A191" s="1" t="str">
        <x:v>downside</x:v>
      </x:c>
      <x:c r="B191" s="1" t="str">
        <x:v>foundry-field</x:v>
      </x:c>
      <x:c r="C191" s="12" t="n">
        <x:v>2028</x:v>
      </x:c>
      <x:c r="D191" s="1" t="str">
        <x:v>revised</x:v>
      </x:c>
      <x:c r="E191" s="1" t="str">
        <x:v>revenue_usd</x:v>
      </x:c>
      <x:c r="F191" s="13" t="n">
        <x:v>48181932</x:v>
      </x:c>
      <x:c r="G191" s="13" t="n">
        <x:v>48441321</x:v>
      </x:c>
      <x:c r="H191" s="13" t="n">
        <x:v>259389</x:v>
      </x:c>
      <x:c r="I191" s="13" t="n">
        <x:v>0</x:v>
      </x:c>
      <x:c r="J191" s="13" t="n">
        <x:v>0</x:v>
      </x:c>
      <x:c r="K191" s="13" t="n">
        <x:v>0</x:v>
      </x:c>
      <x:c r="L191" s="14" t="n">
        <x:f>G191-F191-SUM(H191:K191)</x:f>
        <x:v>0</x:v>
      </x:c>
    </x:row>
    <x:row r="192" ht="19" customHeight="1">
      <x:c r="A192" s="1" t="str">
        <x:v>downside</x:v>
      </x:c>
      <x:c r="B192" s="1" t="str">
        <x:v>foundry-field</x:v>
      </x:c>
      <x:c r="C192" s="12" t="n">
        <x:v>2028</x:v>
      </x:c>
      <x:c r="D192" s="1" t="str">
        <x:v>synthetic_outturn</x:v>
      </x:c>
      <x:c r="E192" s="1" t="str">
        <x:v>net_income_usd</x:v>
      </x:c>
      <x:c r="F192" s="13" t="n">
        <x:v>20035086.2964</x:v>
      </x:c>
      <x:c r="G192" s="13" t="n">
        <x:v>19172502.0168</x:v>
      </x:c>
      <x:c r="H192" s="13" t="n">
        <x:v>0</x:v>
      </x:c>
      <x:c r="I192" s="13" t="n">
        <x:v>0</x:v>
      </x:c>
      <x:c r="J192" s="13" t="n">
        <x:v>-695312.28</x:v>
      </x:c>
      <x:c r="K192" s="13" t="n">
        <x:v>-167271.9996</x:v>
      </x:c>
      <x:c r="L192" s="14" t="n">
        <x:f>G192-F192-SUM(H192:K192)</x:f>
        <x:v>1.862645149230957e-9</x:v>
      </x:c>
    </x:row>
    <x:row r="193" ht="19" customHeight="1">
      <x:c r="A193" s="1" t="str">
        <x:v>downside</x:v>
      </x:c>
      <x:c r="B193" s="1" t="str">
        <x:v>foundry-field</x:v>
      </x:c>
      <x:c r="C193" s="12" t="n">
        <x:v>2028</x:v>
      </x:c>
      <x:c r="D193" s="1" t="str">
        <x:v>synthetic_outturn</x:v>
      </x:c>
      <x:c r="E193" s="1" t="str">
        <x:v>revenue_usd</x:v>
      </x:c>
      <x:c r="F193" s="13" t="n">
        <x:v>48441321</x:v>
      </x:c>
      <x:c r="G193" s="13" t="n">
        <x:v>47722525.2</x:v>
      </x:c>
      <x:c r="H193" s="13" t="n">
        <x:v>0</x:v>
      </x:c>
      <x:c r="I193" s="13" t="n">
        <x:v>0</x:v>
      </x:c>
      <x:c r="J193" s="13" t="n">
        <x:v>-718795.8</x:v>
      </x:c>
      <x:c r="K193" s="13" t="n">
        <x:v>0</x:v>
      </x:c>
      <x:c r="L193" s="14" t="n">
        <x:f>G193-F193-SUM(H193:K193)</x:f>
        <x:v>3.026798367500305e-9</x:v>
      </x:c>
    </x:row>
    <x:row r="194" ht="19" customHeight="1">
      <x:c r="A194" s="1" t="str">
        <x:v>downside</x:v>
      </x:c>
      <x:c r="B194" s="1" t="str">
        <x:v>foundry-field</x:v>
      </x:c>
      <x:c r="C194" s="12" t="n">
        <x:v>2029</x:v>
      </x:c>
      <x:c r="D194" s="1" t="str">
        <x:v>revised</x:v>
      </x:c>
      <x:c r="E194" s="1" t="str">
        <x:v>net_income_usd</x:v>
      </x:c>
      <x:c r="F194" s="13" t="n">
        <x:v>27823871.7732</x:v>
      </x:c>
      <x:c r="G194" s="13" t="n">
        <x:v>28302658.5137</x:v>
      </x:c>
      <x:c r="H194" s="13" t="n">
        <x:v>478786.7405</x:v>
      </x:c>
      <x:c r="I194" s="13" t="n">
        <x:v>0</x:v>
      </x:c>
      <x:c r="J194" s="13" t="n">
        <x:v>0</x:v>
      </x:c>
      <x:c r="K194" s="13" t="n">
        <x:v>0</x:v>
      </x:c>
      <x:c r="L194" s="14" t="n">
        <x:f>G194-F194-SUM(H194:K194)</x:f>
        <x:v>-6.402842700481415e-10</x:v>
      </x:c>
    </x:row>
    <x:row r="195" ht="19" customHeight="1">
      <x:c r="A195" s="1" t="str">
        <x:v>downside</x:v>
      </x:c>
      <x:c r="B195" s="1" t="str">
        <x:v>foundry-field</x:v>
      </x:c>
      <x:c r="C195" s="12" t="n">
        <x:v>2029</x:v>
      </x:c>
      <x:c r="D195" s="1" t="str">
        <x:v>revised</x:v>
      </x:c>
      <x:c r="E195" s="1" t="str">
        <x:v>revenue_usd</x:v>
      </x:c>
      <x:c r="F195" s="13" t="n">
        <x:v>57152465.28</x:v>
      </x:c>
      <x:c r="G195" s="13" t="n">
        <x:v>57636447.84</x:v>
      </x:c>
      <x:c r="H195" s="13" t="n">
        <x:v>483982.56</x:v>
      </x:c>
      <x:c r="I195" s="13" t="n">
        <x:v>0</x:v>
      </x:c>
      <x:c r="J195" s="13" t="n">
        <x:v>0</x:v>
      </x:c>
      <x:c r="K195" s="13" t="n">
        <x:v>0</x:v>
      </x:c>
      <x:c r="L195" s="14" t="n">
        <x:f>G195-F195-SUM(H195:K195)</x:f>
        <x:v>2.3865140974521637e-9</x:v>
      </x:c>
    </x:row>
    <x:row r="196" ht="19" customHeight="1">
      <x:c r="A196" s="1" t="str">
        <x:v>downside</x:v>
      </x:c>
      <x:c r="B196" s="1" t="str">
        <x:v>foundry-field</x:v>
      </x:c>
      <x:c r="C196" s="12" t="n">
        <x:v>2029</x:v>
      </x:c>
      <x:c r="D196" s="1" t="str">
        <x:v>synthetic_outturn</x:v>
      </x:c>
      <x:c r="E196" s="1" t="str">
        <x:v>net_income_usd</x:v>
      </x:c>
      <x:c r="F196" s="13" t="n">
        <x:v>28302658.5137</x:v>
      </x:c>
      <x:c r="G196" s="13" t="n">
        <x:v>27450153.0149</x:v>
      </x:c>
      <x:c r="H196" s="13" t="n">
        <x:v>0</x:v>
      </x:c>
      <x:c r="I196" s="13" t="n">
        <x:v>0</x:v>
      </x:c>
      <x:c r="J196" s="13" t="n">
        <x:v>-680215.3392</x:v>
      </x:c>
      <x:c r="K196" s="13" t="n">
        <x:v>-172290.1596</x:v>
      </x:c>
      <x:c r="L196" s="14" t="n">
        <x:f>G196-F196-SUM(H196:K196)</x:f>
        <x:v>-1.979060471057892e-9</x:v>
      </x:c>
    </x:row>
    <x:row r="197" ht="19" customHeight="1">
      <x:c r="A197" s="1" t="str">
        <x:v>downside</x:v>
      </x:c>
      <x:c r="B197" s="1" t="str">
        <x:v>foundry-field</x:v>
      </x:c>
      <x:c r="C197" s="12" t="n">
        <x:v>2029</x:v>
      </x:c>
      <x:c r="D197" s="1" t="str">
        <x:v>synthetic_outturn</x:v>
      </x:c>
      <x:c r="E197" s="1" t="str">
        <x:v>revenue_usd</x:v>
      </x:c>
      <x:c r="F197" s="13" t="n">
        <x:v>57636447.84</x:v>
      </x:c>
      <x:c r="G197" s="13" t="n">
        <x:v>57000325.608</x:v>
      </x:c>
      <x:c r="H197" s="13" t="n">
        <x:v>0</x:v>
      </x:c>
      <x:c r="I197" s="13" t="n">
        <x:v>0</x:v>
      </x:c>
      <x:c r="J197" s="13" t="n">
        <x:v>-636122.232</x:v>
      </x:c>
      <x:c r="K197" s="13" t="n">
        <x:v>0</x:v>
      </x:c>
      <x:c r="L197" s="14" t="n">
        <x:f>G197-F197-SUM(H197:K197)</x:f>
        <x:v>-8.149072527885437e-10</x:v>
      </x:c>
    </x:row>
    <x:row r="198" ht="19" customHeight="1">
      <x:c r="A198" s="1" t="str">
        <x:v>downside</x:v>
      </x:c>
      <x:c r="B198" s="1" t="str">
        <x:v>foundry-field</x:v>
      </x:c>
      <x:c r="C198" s="12" t="n">
        <x:v>2030</x:v>
      </x:c>
      <x:c r="D198" s="1" t="str">
        <x:v>revised</x:v>
      </x:c>
      <x:c r="E198" s="1" t="str">
        <x:v>net_income_usd</x:v>
      </x:c>
      <x:c r="F198" s="13" t="n">
        <x:v>36898784.8392</x:v>
      </x:c>
      <x:c r="G198" s="13" t="n">
        <x:v>37631628.4493</x:v>
      </x:c>
      <x:c r="H198" s="13" t="n">
        <x:v>732843.6101</x:v>
      </x:c>
      <x:c r="I198" s="13" t="n">
        <x:v>0</x:v>
      </x:c>
      <x:c r="J198" s="13" t="n">
        <x:v>0</x:v>
      </x:c>
      <x:c r="K198" s="13" t="n">
        <x:v>0</x:v>
      </x:c>
      <x:c r="L198" s="14" t="n">
        <x:f>G198-F198-SUM(H198:K198)</x:f>
        <x:v>1.0477378964424133e-9</x:v>
      </x:c>
    </x:row>
    <x:row r="199" ht="19" customHeight="1">
      <x:c r="A199" s="1" t="str">
        <x:v>downside</x:v>
      </x:c>
      <x:c r="B199" s="1" t="str">
        <x:v>foundry-field</x:v>
      </x:c>
      <x:c r="C199" s="12" t="n">
        <x:v>2030</x:v>
      </x:c>
      <x:c r="D199" s="1" t="str">
        <x:v>revised</x:v>
      </x:c>
      <x:c r="E199" s="1" t="str">
        <x:v>revenue_usd</x:v>
      </x:c>
      <x:c r="F199" s="13" t="n">
        <x:v>67291423.8912</x:v>
      </x:c>
      <x:c r="G199" s="13" t="n">
        <x:v>68030351.5536</x:v>
      </x:c>
      <x:c r="H199" s="13" t="n">
        <x:v>738927.6624</x:v>
      </x:c>
      <x:c r="I199" s="13" t="n">
        <x:v>0</x:v>
      </x:c>
      <x:c r="J199" s="13" t="n">
        <x:v>0</x:v>
      </x:c>
      <x:c r="K199" s="13" t="n">
        <x:v>0</x:v>
      </x:c>
      <x:c r="L199" s="14" t="n">
        <x:f>G199-F199-SUM(H199:K199)</x:f>
        <x:v>-7.683411240577698e-9</x:v>
      </x:c>
    </x:row>
    <x:row r="200" ht="19" customHeight="1">
      <x:c r="A200" s="1" t="str">
        <x:v>downside</x:v>
      </x:c>
      <x:c r="B200" s="1" t="str">
        <x:v>foundry-field</x:v>
      </x:c>
      <x:c r="C200" s="12" t="n">
        <x:v>2030</x:v>
      </x:c>
      <x:c r="D200" s="1" t="str">
        <x:v>synthetic_outturn</x:v>
      </x:c>
      <x:c r="E200" s="1" t="str">
        <x:v>net_income_usd</x:v>
      </x:c>
      <x:c r="F200" s="13" t="n">
        <x:v>37631628.4493</x:v>
      </x:c>
      <x:c r="G200" s="13" t="n">
        <x:v>37030377.0321</x:v>
      </x:c>
      <x:c r="H200" s="13" t="n">
        <x:v>0</x:v>
      </x:c>
      <x:c r="I200" s="13" t="n">
        <x:v>0</x:v>
      </x:c>
      <x:c r="J200" s="13" t="n">
        <x:v>-423792.5528</x:v>
      </x:c>
      <x:c r="K200" s="13" t="n">
        <x:v>-177458.8644</x:v>
      </x:c>
      <x:c r="L200" s="14" t="n">
        <x:f>G200-F200-SUM(H200:K200)</x:f>
        <x:v>9.313225746154785e-10</x:v>
      </x:c>
    </x:row>
    <x:row r="201" ht="19" customHeight="1">
      <x:c r="A201" s="1" t="str">
        <x:v>downside</x:v>
      </x:c>
      <x:c r="B201" s="1" t="str">
        <x:v>foundry-field</x:v>
      </x:c>
      <x:c r="C201" s="12" t="n">
        <x:v>2030</x:v>
      </x:c>
      <x:c r="D201" s="1" t="str">
        <x:v>synthetic_outturn</x:v>
      </x:c>
      <x:c r="E201" s="1" t="str">
        <x:v>revenue_usd</x:v>
      </x:c>
      <x:c r="F201" s="13" t="n">
        <x:v>68030351.5536</x:v>
      </x:c>
      <x:c r="G201" s="13" t="n">
        <x:v>67383801.8323</x:v>
      </x:c>
      <x:c r="H201" s="13" t="n">
        <x:v>0</x:v>
      </x:c>
      <x:c r="I201" s="13" t="n">
        <x:v>0</x:v>
      </x:c>
      <x:c r="J201" s="13" t="n">
        <x:v>-646549.7213</x:v>
      </x:c>
      <x:c r="K201" s="13" t="n">
        <x:v>0</x:v>
      </x:c>
      <x:c r="L201" s="14" t="n">
        <x:f>G201-F201-SUM(H201:K201)</x:f>
        <x:v>8.96397978067398e-9</x:v>
      </x:c>
    </x:row>
    <x:row r="202" ht="19" customHeight="1">
      <x:c r="A202" s="1" t="str">
        <x:v>downside</x:v>
      </x:c>
      <x:c r="B202" s="1" t="str">
        <x:v>foundry-field</x:v>
      </x:c>
      <x:c r="C202" s="12" t="n">
        <x:v>2031</x:v>
      </x:c>
      <x:c r="D202" s="1" t="str">
        <x:v>revised</x:v>
      </x:c>
      <x:c r="E202" s="1" t="str">
        <x:v>net_income_usd</x:v>
      </x:c>
      <x:c r="F202" s="13" t="n">
        <x:v>44032558.8489</x:v>
      </x:c>
      <x:c r="G202" s="13" t="n">
        <x:v>44958755.2432</x:v>
      </x:c>
      <x:c r="H202" s="13" t="n">
        <x:v>926196.3943</x:v>
      </x:c>
      <x:c r="I202" s="13" t="n">
        <x:v>0</x:v>
      </x:c>
      <x:c r="J202" s="13" t="n">
        <x:v>0</x:v>
      </x:c>
      <x:c r="K202" s="13" t="n">
        <x:v>0</x:v>
      </x:c>
      <x:c r="L202" s="14" t="n">
        <x:f>G202-F202-SUM(H202:K202)</x:f>
        <x:v>-1.1641532182693481e-9</x:v>
      </x:c>
    </x:row>
    <x:row r="203" ht="19" customHeight="1">
      <x:c r="A203" s="1" t="str">
        <x:v>downside</x:v>
      </x:c>
      <x:c r="B203" s="1" t="str">
        <x:v>foundry-field</x:v>
      </x:c>
      <x:c r="C203" s="12" t="n">
        <x:v>2031</x:v>
      </x:c>
      <x:c r="D203" s="1" t="str">
        <x:v>revised</x:v>
      </x:c>
      <x:c r="E203" s="1" t="str">
        <x:v>revenue_usd</x:v>
      </x:c>
      <x:c r="F203" s="13" t="n">
        <x:v>75123160.8468</x:v>
      </x:c>
      <x:c r="G203" s="13" t="n">
        <x:v>76045848.0154</x:v>
      </x:c>
      <x:c r="H203" s="13" t="n">
        <x:v>922687.1686</x:v>
      </x:c>
      <x:c r="I203" s="13" t="n">
        <x:v>0</x:v>
      </x:c>
      <x:c r="J203" s="13" t="n">
        <x:v>0</x:v>
      </x:c>
      <x:c r="K203" s="13" t="n">
        <x:v>0</x:v>
      </x:c>
      <x:c r="L203" s="14" t="n">
        <x:f>G203-F203-SUM(H203:K203)</x:f>
        <x:v>7.916241884231567e-9</x:v>
      </x:c>
    </x:row>
    <x:row r="204" ht="19" customHeight="1">
      <x:c r="A204" s="1" t="str">
        <x:v>downside</x:v>
      </x:c>
      <x:c r="B204" s="1" t="str">
        <x:v>foundry-field</x:v>
      </x:c>
      <x:c r="C204" s="12" t="n">
        <x:v>2031</x:v>
      </x:c>
      <x:c r="D204" s="1" t="str">
        <x:v>synthetic_outturn</x:v>
      </x:c>
      <x:c r="E204" s="1" t="str">
        <x:v>net_income_usd</x:v>
      </x:c>
      <x:c r="F204" s="13" t="n">
        <x:v>44958755.2432</x:v>
      </x:c>
      <x:c r="G204" s="13" t="n">
        <x:v>44572089.3255</x:v>
      </x:c>
      <x:c r="H204" s="13" t="n">
        <x:v>0</x:v>
      </x:c>
      <x:c r="I204" s="13" t="n">
        <x:v>0</x:v>
      </x:c>
      <x:c r="J204" s="13" t="n">
        <x:v>-203883.2869</x:v>
      </x:c>
      <x:c r="K204" s="13" t="n">
        <x:v>-182782.6308</x:v>
      </x:c>
      <x:c r="L204" s="14" t="n">
        <x:f>G204-F204-SUM(H204:K204)</x:f>
        <x:v>-1.1641532182693481e-10</x:v>
      </x:c>
    </x:row>
    <x:row r="205" ht="19" customHeight="1">
      <x:c r="A205" s="1" t="str">
        <x:v>downside</x:v>
      </x:c>
      <x:c r="B205" s="1" t="str">
        <x:v>foundry-field</x:v>
      </x:c>
      <x:c r="C205" s="12" t="n">
        <x:v>2031</x:v>
      </x:c>
      <x:c r="D205" s="1" t="str">
        <x:v>synthetic_outturn</x:v>
      </x:c>
      <x:c r="E205" s="1" t="str">
        <x:v>revenue_usd</x:v>
      </x:c>
      <x:c r="F205" s="13" t="n">
        <x:v>76045848.0154</x:v>
      </x:c>
      <x:c r="G205" s="13" t="n">
        <x:v>75937237.7053</x:v>
      </x:c>
      <x:c r="H205" s="13" t="n">
        <x:v>0</x:v>
      </x:c>
      <x:c r="I205" s="13" t="n">
        <x:v>0</x:v>
      </x:c>
      <x:c r="J205" s="13" t="n">
        <x:v>-108610.3101</x:v>
      </x:c>
      <x:c r="K205" s="13" t="n">
        <x:v>0</x:v>
      </x:c>
      <x:c r="L205" s="14" t="n">
        <x:f>G205-F205-SUM(H205:K205)</x:f>
        <x:v>-4.0745362639427185e-9</x:v>
      </x:c>
    </x:row>
    <x:row r="206" ht="19" customHeight="1">
      <x:c r="A206" s="1" t="str">
        <x:v>downside</x:v>
      </x:c>
      <x:c r="B206" s="1" t="str">
        <x:v>project-cradle</x:v>
      </x:c>
      <x:c r="C206" s="12" t="n">
        <x:v>2027</x:v>
      </x:c>
      <x:c r="D206" s="1" t="str">
        <x:v>revised</x:v>
      </x:c>
      <x:c r="E206" s="1" t="str">
        <x:v>net_income_usd</x:v>
      </x:c>
      <x:c r="F206" s="13" t="n">
        <x:v>-2587763.5818</x:v>
      </x:c>
      <x:c r="G206" s="13" t="n">
        <x:v>-2587763.5818</x:v>
      </x:c>
      <x:c r="H206" s="13" t="n">
        <x:v>0</x:v>
      </x:c>
      <x:c r="I206" s="13" t="n">
        <x:v>0</x:v>
      </x:c>
      <x:c r="J206" s="13" t="n">
        <x:v>0</x:v>
      </x:c>
      <x:c r="K206" s="13" t="n">
        <x:v>0</x:v>
      </x:c>
      <x:c r="L206" s="14" t="n">
        <x:f>G206-F206-SUM(H206:K206)</x:f>
        <x:v>0</x:v>
      </x:c>
    </x:row>
    <x:row r="207" ht="19" customHeight="1">
      <x:c r="A207" s="1" t="str">
        <x:v>downside</x:v>
      </x:c>
      <x:c r="B207" s="1" t="str">
        <x:v>project-cradle</x:v>
      </x:c>
      <x:c r="C207" s="12" t="n">
        <x:v>2027</x:v>
      </x:c>
      <x:c r="D207" s="1" t="str">
        <x:v>revised</x:v>
      </x:c>
      <x:c r="E207" s="1" t="str">
        <x:v>revenue_usd</x:v>
      </x:c>
      <x:c r="F207" s="13" t="n">
        <x:v>461794.608</x:v>
      </x:c>
      <x:c r="G207" s="13" t="n">
        <x:v>461794.608</x:v>
      </x:c>
      <x:c r="H207" s="13" t="n">
        <x:v>0</x:v>
      </x:c>
      <x:c r="I207" s="13" t="n">
        <x:v>0</x:v>
      </x:c>
      <x:c r="J207" s="13" t="n">
        <x:v>0</x:v>
      </x:c>
      <x:c r="K207" s="13" t="n">
        <x:v>0</x:v>
      </x:c>
      <x:c r="L207" s="14" t="n">
        <x:f>G207-F207-SUM(H207:K207)</x:f>
        <x:v>0</x:v>
      </x:c>
    </x:row>
    <x:row r="208" ht="19" customHeight="1">
      <x:c r="A208" s="1" t="str">
        <x:v>downside</x:v>
      </x:c>
      <x:c r="B208" s="1" t="str">
        <x:v>project-cradle</x:v>
      </x:c>
      <x:c r="C208" s="12" t="n">
        <x:v>2027</x:v>
      </x:c>
      <x:c r="D208" s="1" t="str">
        <x:v>synthetic_outturn</x:v>
      </x:c>
      <x:c r="E208" s="1" t="str">
        <x:v>net_income_usd</x:v>
      </x:c>
      <x:c r="F208" s="13" t="n">
        <x:v>-2587763.5818</x:v>
      </x:c>
      <x:c r="G208" s="13" t="n">
        <x:v>-2587763.5818</x:v>
      </x:c>
      <x:c r="H208" s="13" t="n">
        <x:v>0</x:v>
      </x:c>
      <x:c r="I208" s="13" t="n">
        <x:v>0</x:v>
      </x:c>
      <x:c r="J208" s="13" t="n">
        <x:v>0</x:v>
      </x:c>
      <x:c r="K208" s="13" t="n">
        <x:v>0</x:v>
      </x:c>
      <x:c r="L208" s="14" t="n">
        <x:f>G208-F208-SUM(H208:K208)</x:f>
        <x:v>0</x:v>
      </x:c>
    </x:row>
    <x:row r="209" ht="19" customHeight="1">
      <x:c r="A209" s="1" t="str">
        <x:v>downside</x:v>
      </x:c>
      <x:c r="B209" s="1" t="str">
        <x:v>project-cradle</x:v>
      </x:c>
      <x:c r="C209" s="12" t="n">
        <x:v>2027</x:v>
      </x:c>
      <x:c r="D209" s="1" t="str">
        <x:v>synthetic_outturn</x:v>
      </x:c>
      <x:c r="E209" s="1" t="str">
        <x:v>revenue_usd</x:v>
      </x:c>
      <x:c r="F209" s="13" t="n">
        <x:v>461794.608</x:v>
      </x:c>
      <x:c r="G209" s="13" t="n">
        <x:v>461794.608</x:v>
      </x:c>
      <x:c r="H209" s="13" t="n">
        <x:v>0</x:v>
      </x:c>
      <x:c r="I209" s="13" t="n">
        <x:v>0</x:v>
      </x:c>
      <x:c r="J209" s="13" t="n">
        <x:v>0</x:v>
      </x:c>
      <x:c r="K209" s="13" t="n">
        <x:v>0</x:v>
      </x:c>
      <x:c r="L209" s="14" t="n">
        <x:f>G209-F209-SUM(H209:K209)</x:f>
        <x:v>0</x:v>
      </x:c>
    </x:row>
    <x:row r="210" ht="19" customHeight="1">
      <x:c r="A210" s="1" t="str">
        <x:v>downside</x:v>
      </x:c>
      <x:c r="B210" s="1" t="str">
        <x:v>project-cradle</x:v>
      </x:c>
      <x:c r="C210" s="12" t="n">
        <x:v>2028</x:v>
      </x:c>
      <x:c r="D210" s="1" t="str">
        <x:v>revised</x:v>
      </x:c>
      <x:c r="E210" s="1" t="str">
        <x:v>net_income_usd</x:v>
      </x:c>
      <x:c r="F210" s="13" t="n">
        <x:v>-2760190.518</x:v>
      </x:c>
      <x:c r="G210" s="13" t="n">
        <x:v>-2760190.518</x:v>
      </x:c>
      <x:c r="H210" s="13" t="n">
        <x:v>0</x:v>
      </x:c>
      <x:c r="I210" s="13" t="n">
        <x:v>0</x:v>
      </x:c>
      <x:c r="J210" s="13" t="n">
        <x:v>0</x:v>
      </x:c>
      <x:c r="K210" s="13" t="n">
        <x:v>0</x:v>
      </x:c>
      <x:c r="L210" s="14" t="n">
        <x:f>G210-F210-SUM(H210:K210)</x:f>
        <x:v>0</x:v>
      </x:c>
    </x:row>
    <x:row r="211" ht="19" customHeight="1">
      <x:c r="A211" s="1" t="str">
        <x:v>downside</x:v>
      </x:c>
      <x:c r="B211" s="1" t="str">
        <x:v>project-cradle</x:v>
      </x:c>
      <x:c r="C211" s="12" t="n">
        <x:v>2028</x:v>
      </x:c>
      <x:c r="D211" s="1" t="str">
        <x:v>revised</x:v>
      </x:c>
      <x:c r="E211" s="1" t="str">
        <x:v>revenue_usd</x:v>
      </x:c>
      <x:c r="F211" s="13" t="n">
        <x:v>696291.552</x:v>
      </x:c>
      <x:c r="G211" s="13" t="n">
        <x:v>696291.552</x:v>
      </x:c>
      <x:c r="H211" s="13" t="n">
        <x:v>0</x:v>
      </x:c>
      <x:c r="I211" s="13" t="n">
        <x:v>0</x:v>
      </x:c>
      <x:c r="J211" s="13" t="n">
        <x:v>0</x:v>
      </x:c>
      <x:c r="K211" s="13" t="n">
        <x:v>0</x:v>
      </x:c>
      <x:c r="L211" s="14" t="n">
        <x:f>G211-F211-SUM(H211:K211)</x:f>
        <x:v>0</x:v>
      </x:c>
    </x:row>
    <x:row r="212" ht="19" customHeight="1">
      <x:c r="A212" s="1" t="str">
        <x:v>downside</x:v>
      </x:c>
      <x:c r="B212" s="1" t="str">
        <x:v>project-cradle</x:v>
      </x:c>
      <x:c r="C212" s="12" t="n">
        <x:v>2028</x:v>
      </x:c>
      <x:c r="D212" s="1" t="str">
        <x:v>synthetic_outturn</x:v>
      </x:c>
      <x:c r="E212" s="1" t="str">
        <x:v>net_income_usd</x:v>
      </x:c>
      <x:c r="F212" s="13" t="n">
        <x:v>-2760190.518</x:v>
      </x:c>
      <x:c r="G212" s="13" t="n">
        <x:v>-2760190.518</x:v>
      </x:c>
      <x:c r="H212" s="13" t="n">
        <x:v>0</x:v>
      </x:c>
      <x:c r="I212" s="13" t="n">
        <x:v>0</x:v>
      </x:c>
      <x:c r="J212" s="13" t="n">
        <x:v>0</x:v>
      </x:c>
      <x:c r="K212" s="13" t="n">
        <x:v>0</x:v>
      </x:c>
      <x:c r="L212" s="14" t="n">
        <x:f>G212-F212-SUM(H212:K212)</x:f>
        <x:v>0</x:v>
      </x:c>
    </x:row>
    <x:row r="213" ht="19" customHeight="1">
      <x:c r="A213" s="1" t="str">
        <x:v>downside</x:v>
      </x:c>
      <x:c r="B213" s="1" t="str">
        <x:v>project-cradle</x:v>
      </x:c>
      <x:c r="C213" s="12" t="n">
        <x:v>2028</x:v>
      </x:c>
      <x:c r="D213" s="1" t="str">
        <x:v>synthetic_outturn</x:v>
      </x:c>
      <x:c r="E213" s="1" t="str">
        <x:v>revenue_usd</x:v>
      </x:c>
      <x:c r="F213" s="13" t="n">
        <x:v>696291.552</x:v>
      </x:c>
      <x:c r="G213" s="13" t="n">
        <x:v>696291.552</x:v>
      </x:c>
      <x:c r="H213" s="13" t="n">
        <x:v>0</x:v>
      </x:c>
      <x:c r="I213" s="13" t="n">
        <x:v>0</x:v>
      </x:c>
      <x:c r="J213" s="13" t="n">
        <x:v>0</x:v>
      </x:c>
      <x:c r="K213" s="13" t="n">
        <x:v>0</x:v>
      </x:c>
      <x:c r="L213" s="14" t="n">
        <x:f>G213-F213-SUM(H213:K213)</x:f>
        <x:v>0</x:v>
      </x:c>
    </x:row>
    <x:row r="214" ht="19" customHeight="1">
      <x:c r="A214" s="1" t="str">
        <x:v>downside</x:v>
      </x:c>
      <x:c r="B214" s="1" t="str">
        <x:v>project-cradle</x:v>
      </x:c>
      <x:c r="C214" s="12" t="n">
        <x:v>2029</x:v>
      </x:c>
      <x:c r="D214" s="1" t="str">
        <x:v>revised</x:v>
      </x:c>
      <x:c r="E214" s="1" t="str">
        <x:v>net_income_usd</x:v>
      </x:c>
      <x:c r="F214" s="13" t="n">
        <x:v>-2900665.8118</x:v>
      </x:c>
      <x:c r="G214" s="13" t="n">
        <x:v>-2900665.8118</x:v>
      </x:c>
      <x:c r="H214" s="13" t="n">
        <x:v>0</x:v>
      </x:c>
      <x:c r="I214" s="13" t="n">
        <x:v>0</x:v>
      </x:c>
      <x:c r="J214" s="13" t="n">
        <x:v>0</x:v>
      </x:c>
      <x:c r="K214" s="13" t="n">
        <x:v>0</x:v>
      </x:c>
      <x:c r="L214" s="14" t="n">
        <x:f>G214-F214-SUM(H214:K214)</x:f>
        <x:v>0</x:v>
      </x:c>
    </x:row>
    <x:row r="215" ht="19" customHeight="1">
      <x:c r="A215" s="1" t="str">
        <x:v>downside</x:v>
      </x:c>
      <x:c r="B215" s="1" t="str">
        <x:v>project-cradle</x:v>
      </x:c>
      <x:c r="C215" s="12" t="n">
        <x:v>2029</x:v>
      </x:c>
      <x:c r="D215" s="1" t="str">
        <x:v>revised</x:v>
      </x:c>
      <x:c r="E215" s="1" t="str">
        <x:v>revenue_usd</x:v>
      </x:c>
      <x:c r="F215" s="13" t="n">
        <x:v>638169.84</x:v>
      </x:c>
      <x:c r="G215" s="13" t="n">
        <x:v>638169.84</x:v>
      </x:c>
      <x:c r="H215" s="13" t="n">
        <x:v>0</x:v>
      </x:c>
      <x:c r="I215" s="13" t="n">
        <x:v>0</x:v>
      </x:c>
      <x:c r="J215" s="13" t="n">
        <x:v>0</x:v>
      </x:c>
      <x:c r="K215" s="13" t="n">
        <x:v>0</x:v>
      </x:c>
      <x:c r="L215" s="14" t="n">
        <x:f>G215-F215-SUM(H215:K215)</x:f>
        <x:v>0</x:v>
      </x:c>
    </x:row>
    <x:row r="216" ht="19" customHeight="1">
      <x:c r="A216" s="1" t="str">
        <x:v>downside</x:v>
      </x:c>
      <x:c r="B216" s="1" t="str">
        <x:v>project-cradle</x:v>
      </x:c>
      <x:c r="C216" s="12" t="n">
        <x:v>2029</x:v>
      </x:c>
      <x:c r="D216" s="1" t="str">
        <x:v>synthetic_outturn</x:v>
      </x:c>
      <x:c r="E216" s="1" t="str">
        <x:v>net_income_usd</x:v>
      </x:c>
      <x:c r="F216" s="13" t="n">
        <x:v>-2900665.8118</x:v>
      </x:c>
      <x:c r="G216" s="13" t="n">
        <x:v>-2900665.8118</x:v>
      </x:c>
      <x:c r="H216" s="13" t="n">
        <x:v>0</x:v>
      </x:c>
      <x:c r="I216" s="13" t="n">
        <x:v>0</x:v>
      </x:c>
      <x:c r="J216" s="13" t="n">
        <x:v>0</x:v>
      </x:c>
      <x:c r="K216" s="13" t="n">
        <x:v>0</x:v>
      </x:c>
      <x:c r="L216" s="14" t="n">
        <x:f>G216-F216-SUM(H216:K216)</x:f>
        <x:v>0</x:v>
      </x:c>
    </x:row>
    <x:row r="217" ht="19" customHeight="1">
      <x:c r="A217" s="1" t="str">
        <x:v>downside</x:v>
      </x:c>
      <x:c r="B217" s="1" t="str">
        <x:v>project-cradle</x:v>
      </x:c>
      <x:c r="C217" s="12" t="n">
        <x:v>2029</x:v>
      </x:c>
      <x:c r="D217" s="1" t="str">
        <x:v>synthetic_outturn</x:v>
      </x:c>
      <x:c r="E217" s="1" t="str">
        <x:v>revenue_usd</x:v>
      </x:c>
      <x:c r="F217" s="13" t="n">
        <x:v>638169.84</x:v>
      </x:c>
      <x:c r="G217" s="13" t="n">
        <x:v>638169.84</x:v>
      </x:c>
      <x:c r="H217" s="13" t="n">
        <x:v>0</x:v>
      </x:c>
      <x:c r="I217" s="13" t="n">
        <x:v>0</x:v>
      </x:c>
      <x:c r="J217" s="13" t="n">
        <x:v>0</x:v>
      </x:c>
      <x:c r="K217" s="13" t="n">
        <x:v>0</x:v>
      </x:c>
      <x:c r="L217" s="14" t="n">
        <x:f>G217-F217-SUM(H217:K217)</x:f>
        <x:v>0</x:v>
      </x:c>
    </x:row>
    <x:row r="218" ht="19" customHeight="1">
      <x:c r="A218" s="1" t="str">
        <x:v>downside</x:v>
      </x:c>
      <x:c r="B218" s="1" t="str">
        <x:v>project-cradle</x:v>
      </x:c>
      <x:c r="C218" s="12" t="n">
        <x:v>2030</x:v>
      </x:c>
      <x:c r="D218" s="1" t="str">
        <x:v>revised</x:v>
      </x:c>
      <x:c r="E218" s="1" t="str">
        <x:v>net_income_usd</x:v>
      </x:c>
      <x:c r="F218" s="13" t="n">
        <x:v>-2967524.345</x:v>
      </x:c>
      <x:c r="G218" s="13" t="n">
        <x:v>-2967524.345</x:v>
      </x:c>
      <x:c r="H218" s="13" t="n">
        <x:v>0</x:v>
      </x:c>
      <x:c r="I218" s="13" t="n">
        <x:v>0</x:v>
      </x:c>
      <x:c r="J218" s="13" t="n">
        <x:v>0</x:v>
      </x:c>
      <x:c r="K218" s="13" t="n">
        <x:v>0</x:v>
      </x:c>
      <x:c r="L218" s="14" t="n">
        <x:f>G218-F218-SUM(H218:K218)</x:f>
        <x:v>0</x:v>
      </x:c>
    </x:row>
    <x:row r="219" ht="19" customHeight="1">
      <x:c r="A219" s="1" t="str">
        <x:v>downside</x:v>
      </x:c>
      <x:c r="B219" s="1" t="str">
        <x:v>project-cradle</x:v>
      </x:c>
      <x:c r="C219" s="12" t="n">
        <x:v>2030</x:v>
      </x:c>
      <x:c r="D219" s="1" t="str">
        <x:v>revised</x:v>
      </x:c>
      <x:c r="E219" s="1" t="str">
        <x:v>revenue_usd</x:v>
      </x:c>
      <x:c r="F219" s="13" t="n">
        <x:v>639338.832</x:v>
      </x:c>
      <x:c r="G219" s="13" t="n">
        <x:v>639338.832</x:v>
      </x:c>
      <x:c r="H219" s="13" t="n">
        <x:v>0</x:v>
      </x:c>
      <x:c r="I219" s="13" t="n">
        <x:v>0</x:v>
      </x:c>
      <x:c r="J219" s="13" t="n">
        <x:v>0</x:v>
      </x:c>
      <x:c r="K219" s="13" t="n">
        <x:v>0</x:v>
      </x:c>
      <x:c r="L219" s="14" t="n">
        <x:f>G219-F219-SUM(H219:K219)</x:f>
        <x:v>0</x:v>
      </x:c>
    </x:row>
    <x:row r="220" ht="19" customHeight="1">
      <x:c r="A220" s="1" t="str">
        <x:v>downside</x:v>
      </x:c>
      <x:c r="B220" s="1" t="str">
        <x:v>project-cradle</x:v>
      </x:c>
      <x:c r="C220" s="12" t="n">
        <x:v>2030</x:v>
      </x:c>
      <x:c r="D220" s="1" t="str">
        <x:v>synthetic_outturn</x:v>
      </x:c>
      <x:c r="E220" s="1" t="str">
        <x:v>net_income_usd</x:v>
      </x:c>
      <x:c r="F220" s="13" t="n">
        <x:v>-2967524.345</x:v>
      </x:c>
      <x:c r="G220" s="13" t="n">
        <x:v>-2967524.345</x:v>
      </x:c>
      <x:c r="H220" s="13" t="n">
        <x:v>0</x:v>
      </x:c>
      <x:c r="I220" s="13" t="n">
        <x:v>0</x:v>
      </x:c>
      <x:c r="J220" s="13" t="n">
        <x:v>0</x:v>
      </x:c>
      <x:c r="K220" s="13" t="n">
        <x:v>0</x:v>
      </x:c>
      <x:c r="L220" s="14" t="n">
        <x:f>G220-F220-SUM(H220:K220)</x:f>
        <x:v>0</x:v>
      </x:c>
    </x:row>
    <x:row r="221" ht="19" customHeight="1">
      <x:c r="A221" s="1" t="str">
        <x:v>downside</x:v>
      </x:c>
      <x:c r="B221" s="1" t="str">
        <x:v>project-cradle</x:v>
      </x:c>
      <x:c r="C221" s="12" t="n">
        <x:v>2030</x:v>
      </x:c>
      <x:c r="D221" s="1" t="str">
        <x:v>synthetic_outturn</x:v>
      </x:c>
      <x:c r="E221" s="1" t="str">
        <x:v>revenue_usd</x:v>
      </x:c>
      <x:c r="F221" s="13" t="n">
        <x:v>639338.832</x:v>
      </x:c>
      <x:c r="G221" s="13" t="n">
        <x:v>639338.832</x:v>
      </x:c>
      <x:c r="H221" s="13" t="n">
        <x:v>0</x:v>
      </x:c>
      <x:c r="I221" s="13" t="n">
        <x:v>0</x:v>
      </x:c>
      <x:c r="J221" s="13" t="n">
        <x:v>0</x:v>
      </x:c>
      <x:c r="K221" s="13" t="n">
        <x:v>0</x:v>
      </x:c>
      <x:c r="L221" s="14" t="n">
        <x:f>G221-F221-SUM(H221:K221)</x:f>
        <x:v>0</x:v>
      </x:c>
    </x:row>
    <x:row r="222" ht="19" customHeight="1">
      <x:c r="A222" s="1" t="str">
        <x:v>downside</x:v>
      </x:c>
      <x:c r="B222" s="1" t="str">
        <x:v>project-cradle</x:v>
      </x:c>
      <x:c r="C222" s="12" t="n">
        <x:v>2031</x:v>
      </x:c>
      <x:c r="D222" s="1" t="str">
        <x:v>revised</x:v>
      </x:c>
      <x:c r="E222" s="1" t="str">
        <x:v>net_income_usd</x:v>
      </x:c>
      <x:c r="F222" s="13" t="n">
        <x:v>-3029783.9412</x:v>
      </x:c>
      <x:c r="G222" s="13" t="n">
        <x:v>-3029783.9412</x:v>
      </x:c>
      <x:c r="H222" s="13" t="n">
        <x:v>0</x:v>
      </x:c>
      <x:c r="I222" s="13" t="n">
        <x:v>0</x:v>
      </x:c>
      <x:c r="J222" s="13" t="n">
        <x:v>0</x:v>
      </x:c>
      <x:c r="K222" s="13" t="n">
        <x:v>0</x:v>
      </x:c>
      <x:c r="L222" s="14" t="n">
        <x:f>G222-F222-SUM(H222:K222)</x:f>
        <x:v>0</x:v>
      </x:c>
    </x:row>
    <x:row r="223" ht="19" customHeight="1">
      <x:c r="A223" s="1" t="str">
        <x:v>downside</x:v>
      </x:c>
      <x:c r="B223" s="1" t="str">
        <x:v>project-cradle</x:v>
      </x:c>
      <x:c r="C223" s="12" t="n">
        <x:v>2031</x:v>
      </x:c>
      <x:c r="D223" s="1" t="str">
        <x:v>revised</x:v>
      </x:c>
      <x:c r="E223" s="1" t="str">
        <x:v>revenue_usd</x:v>
      </x:c>
      <x:c r="F223" s="13" t="n">
        <x:v>696291.552</x:v>
      </x:c>
      <x:c r="G223" s="13" t="n">
        <x:v>696291.552</x:v>
      </x:c>
      <x:c r="H223" s="13" t="n">
        <x:v>0</x:v>
      </x:c>
      <x:c r="I223" s="13" t="n">
        <x:v>0</x:v>
      </x:c>
      <x:c r="J223" s="13" t="n">
        <x:v>0</x:v>
      </x:c>
      <x:c r="K223" s="13" t="n">
        <x:v>0</x:v>
      </x:c>
      <x:c r="L223" s="14" t="n">
        <x:f>G223-F223-SUM(H223:K223)</x:f>
        <x:v>0</x:v>
      </x:c>
    </x:row>
    <x:row r="224" ht="19" customHeight="1">
      <x:c r="A224" s="1" t="str">
        <x:v>downside</x:v>
      </x:c>
      <x:c r="B224" s="1" t="str">
        <x:v>project-cradle</x:v>
      </x:c>
      <x:c r="C224" s="12" t="n">
        <x:v>2031</x:v>
      </x:c>
      <x:c r="D224" s="1" t="str">
        <x:v>synthetic_outturn</x:v>
      </x:c>
      <x:c r="E224" s="1" t="str">
        <x:v>net_income_usd</x:v>
      </x:c>
      <x:c r="F224" s="13" t="n">
        <x:v>-3029783.9412</x:v>
      </x:c>
      <x:c r="G224" s="13" t="n">
        <x:v>-3029783.9412</x:v>
      </x:c>
      <x:c r="H224" s="13" t="n">
        <x:v>0</x:v>
      </x:c>
      <x:c r="I224" s="13" t="n">
        <x:v>0</x:v>
      </x:c>
      <x:c r="J224" s="13" t="n">
        <x:v>0</x:v>
      </x:c>
      <x:c r="K224" s="13" t="n">
        <x:v>0</x:v>
      </x:c>
      <x:c r="L224" s="14" t="n">
        <x:f>G224-F224-SUM(H224:K224)</x:f>
        <x:v>0</x:v>
      </x:c>
    </x:row>
    <x:row r="225" ht="19" customHeight="1">
      <x:c r="A225" s="1" t="str">
        <x:v>downside</x:v>
      </x:c>
      <x:c r="B225" s="1" t="str">
        <x:v>project-cradle</x:v>
      </x:c>
      <x:c r="C225" s="12" t="n">
        <x:v>2031</x:v>
      </x:c>
      <x:c r="D225" s="1" t="str">
        <x:v>synthetic_outturn</x:v>
      </x:c>
      <x:c r="E225" s="1" t="str">
        <x:v>revenue_usd</x:v>
      </x:c>
      <x:c r="F225" s="13" t="n">
        <x:v>696291.552</x:v>
      </x:c>
      <x:c r="G225" s="13" t="n">
        <x:v>696291.552</x:v>
      </x:c>
      <x:c r="H225" s="13" t="n">
        <x:v>0</x:v>
      </x:c>
      <x:c r="I225" s="13" t="n">
        <x:v>0</x:v>
      </x:c>
      <x:c r="J225" s="13" t="n">
        <x:v>0</x:v>
      </x:c>
      <x:c r="K225" s="13" t="n">
        <x:v>0</x:v>
      </x:c>
      <x:c r="L225" s="14" t="n">
        <x:f>G225-F225-SUM(H225:K225)</x:f>
        <x:v>0</x:v>
      </x:c>
    </x:row>
    <x:row r="226" ht="19" customHeight="1">
      <x:c r="A226" s="1" t="str">
        <x:v>downside</x:v>
      </x:c>
      <x:c r="B226" s="1" t="str">
        <x:v>willow</x:v>
      </x:c>
      <x:c r="C226" s="12" t="n">
        <x:v>2027</x:v>
      </x:c>
      <x:c r="D226" s="1" t="str">
        <x:v>revised</x:v>
      </x:c>
      <x:c r="E226" s="1" t="str">
        <x:v>net_income_usd</x:v>
      </x:c>
      <x:c r="F226" s="13" t="n">
        <x:v>-4420640</x:v>
      </x:c>
      <x:c r="G226" s="13" t="n">
        <x:v>-4420640</x:v>
      </x:c>
      <x:c r="H226" s="13" t="n">
        <x:v>0</x:v>
      </x:c>
      <x:c r="I226" s="13" t="n">
        <x:v>0</x:v>
      </x:c>
      <x:c r="J226" s="13" t="n">
        <x:v>0</x:v>
      </x:c>
      <x:c r="K226" s="13" t="n">
        <x:v>0</x:v>
      </x:c>
      <x:c r="L226" s="14" t="n">
        <x:f>G226-F226-SUM(H226:K226)</x:f>
        <x:v>0</x:v>
      </x:c>
    </x:row>
    <x:row r="227" ht="19" customHeight="1">
      <x:c r="A227" s="1" t="str">
        <x:v>downside</x:v>
      </x:c>
      <x:c r="B227" s="1" t="str">
        <x:v>willow</x:v>
      </x:c>
      <x:c r="C227" s="12" t="n">
        <x:v>2027</x:v>
      </x:c>
      <x:c r="D227" s="1" t="str">
        <x:v>revised</x:v>
      </x:c>
      <x:c r="E227" s="1" t="str">
        <x:v>revenue_usd</x:v>
      </x:c>
      <x:c r="F227" s="13" t="n">
        <x:v>0</x:v>
      </x:c>
      <x:c r="G227" s="13" t="n">
        <x:v>0</x:v>
      </x:c>
      <x:c r="H227" s="13" t="n">
        <x:v>0</x:v>
      </x:c>
      <x:c r="I227" s="13" t="n">
        <x:v>0</x:v>
      </x:c>
      <x:c r="J227" s="13" t="n">
        <x:v>0</x:v>
      </x:c>
      <x:c r="K227" s="13" t="n">
        <x:v>0</x:v>
      </x:c>
      <x:c r="L227" s="14" t="n">
        <x:f>G227-F227-SUM(H227:K227)</x:f>
        <x:v>0</x:v>
      </x:c>
    </x:row>
    <x:row r="228" ht="19" customHeight="1">
      <x:c r="A228" s="1" t="str">
        <x:v>downside</x:v>
      </x:c>
      <x:c r="B228" s="1" t="str">
        <x:v>willow</x:v>
      </x:c>
      <x:c r="C228" s="12" t="n">
        <x:v>2027</x:v>
      </x:c>
      <x:c r="D228" s="1" t="str">
        <x:v>synthetic_outturn</x:v>
      </x:c>
      <x:c r="E228" s="1" t="str">
        <x:v>net_income_usd</x:v>
      </x:c>
      <x:c r="F228" s="13" t="n">
        <x:v>-4420640</x:v>
      </x:c>
      <x:c r="G228" s="13" t="n">
        <x:v>-4420640</x:v>
      </x:c>
      <x:c r="H228" s="13" t="n">
        <x:v>0</x:v>
      </x:c>
      <x:c r="I228" s="13" t="n">
        <x:v>0</x:v>
      </x:c>
      <x:c r="J228" s="13" t="n">
        <x:v>0</x:v>
      </x:c>
      <x:c r="K228" s="13" t="n">
        <x:v>0</x:v>
      </x:c>
      <x:c r="L228" s="14" t="n">
        <x:f>G228-F228-SUM(H228:K228)</x:f>
        <x:v>0</x:v>
      </x:c>
    </x:row>
    <x:row r="229" ht="19" customHeight="1">
      <x:c r="A229" s="1" t="str">
        <x:v>downside</x:v>
      </x:c>
      <x:c r="B229" s="1" t="str">
        <x:v>willow</x:v>
      </x:c>
      <x:c r="C229" s="12" t="n">
        <x:v>2027</x:v>
      </x:c>
      <x:c r="D229" s="1" t="str">
        <x:v>synthetic_outturn</x:v>
      </x:c>
      <x:c r="E229" s="1" t="str">
        <x:v>revenue_usd</x:v>
      </x:c>
      <x:c r="F229" s="13" t="n">
        <x:v>0</x:v>
      </x:c>
      <x:c r="G229" s="13" t="n">
        <x:v>0</x:v>
      </x:c>
      <x:c r="H229" s="13" t="n">
        <x:v>0</x:v>
      </x:c>
      <x:c r="I229" s="13" t="n">
        <x:v>0</x:v>
      </x:c>
      <x:c r="J229" s="13" t="n">
        <x:v>0</x:v>
      </x:c>
      <x:c r="K229" s="13" t="n">
        <x:v>0</x:v>
      </x:c>
      <x:c r="L229" s="14" t="n">
        <x:f>G229-F229-SUM(H229:K229)</x:f>
        <x:v>0</x:v>
      </x:c>
    </x:row>
    <x:row r="230" ht="19" customHeight="1">
      <x:c r="A230" s="1" t="str">
        <x:v>downside</x:v>
      </x:c>
      <x:c r="B230" s="1" t="str">
        <x:v>willow</x:v>
      </x:c>
      <x:c r="C230" s="12" t="n">
        <x:v>2028</x:v>
      </x:c>
      <x:c r="D230" s="1" t="str">
        <x:v>revised</x:v>
      </x:c>
      <x:c r="E230" s="1" t="str">
        <x:v>net_income_usd</x:v>
      </x:c>
      <x:c r="F230" s="13" t="n">
        <x:v>-4236176</x:v>
      </x:c>
      <x:c r="G230" s="13" t="n">
        <x:v>-4236176</x:v>
      </x:c>
      <x:c r="H230" s="13" t="n">
        <x:v>0</x:v>
      </x:c>
      <x:c r="I230" s="13" t="n">
        <x:v>0</x:v>
      </x:c>
      <x:c r="J230" s="13" t="n">
        <x:v>0</x:v>
      </x:c>
      <x:c r="K230" s="13" t="n">
        <x:v>0</x:v>
      </x:c>
      <x:c r="L230" s="14" t="n">
        <x:f>G230-F230-SUM(H230:K230)</x:f>
        <x:v>0</x:v>
      </x:c>
    </x:row>
    <x:row r="231" ht="19" customHeight="1">
      <x:c r="A231" s="1" t="str">
        <x:v>downside</x:v>
      </x:c>
      <x:c r="B231" s="1" t="str">
        <x:v>willow</x:v>
      </x:c>
      <x:c r="C231" s="12" t="n">
        <x:v>2028</x:v>
      </x:c>
      <x:c r="D231" s="1" t="str">
        <x:v>revised</x:v>
      </x:c>
      <x:c r="E231" s="1" t="str">
        <x:v>revenue_usd</x:v>
      </x:c>
      <x:c r="F231" s="13" t="n">
        <x:v>0</x:v>
      </x:c>
      <x:c r="G231" s="13" t="n">
        <x:v>0</x:v>
      </x:c>
      <x:c r="H231" s="13" t="n">
        <x:v>0</x:v>
      </x:c>
      <x:c r="I231" s="13" t="n">
        <x:v>0</x:v>
      </x:c>
      <x:c r="J231" s="13" t="n">
        <x:v>0</x:v>
      </x:c>
      <x:c r="K231" s="13" t="n">
        <x:v>0</x:v>
      </x:c>
      <x:c r="L231" s="14" t="n">
        <x:f>G231-F231-SUM(H231:K231)</x:f>
        <x:v>0</x:v>
      </x:c>
    </x:row>
    <x:row r="232" ht="19" customHeight="1">
      <x:c r="A232" s="1" t="str">
        <x:v>downside</x:v>
      </x:c>
      <x:c r="B232" s="1" t="str">
        <x:v>willow</x:v>
      </x:c>
      <x:c r="C232" s="12" t="n">
        <x:v>2028</x:v>
      </x:c>
      <x:c r="D232" s="1" t="str">
        <x:v>synthetic_outturn</x:v>
      </x:c>
      <x:c r="E232" s="1" t="str">
        <x:v>net_income_usd</x:v>
      </x:c>
      <x:c r="F232" s="13" t="n">
        <x:v>-4236176</x:v>
      </x:c>
      <x:c r="G232" s="13" t="n">
        <x:v>-4236176</x:v>
      </x:c>
      <x:c r="H232" s="13" t="n">
        <x:v>0</x:v>
      </x:c>
      <x:c r="I232" s="13" t="n">
        <x:v>0</x:v>
      </x:c>
      <x:c r="J232" s="13" t="n">
        <x:v>0</x:v>
      </x:c>
      <x:c r="K232" s="13" t="n">
        <x:v>0</x:v>
      </x:c>
      <x:c r="L232" s="14" t="n">
        <x:f>G232-F232-SUM(H232:K232)</x:f>
        <x:v>0</x:v>
      </x:c>
    </x:row>
    <x:row r="233" ht="19" customHeight="1">
      <x:c r="A233" s="1" t="str">
        <x:v>downside</x:v>
      </x:c>
      <x:c r="B233" s="1" t="str">
        <x:v>willow</x:v>
      </x:c>
      <x:c r="C233" s="12" t="n">
        <x:v>2028</x:v>
      </x:c>
      <x:c r="D233" s="1" t="str">
        <x:v>synthetic_outturn</x:v>
      </x:c>
      <x:c r="E233" s="1" t="str">
        <x:v>revenue_usd</x:v>
      </x:c>
      <x:c r="F233" s="13" t="n">
        <x:v>0</x:v>
      </x:c>
      <x:c r="G233" s="13" t="n">
        <x:v>0</x:v>
      </x:c>
      <x:c r="H233" s="13" t="n">
        <x:v>0</x:v>
      </x:c>
      <x:c r="I233" s="13" t="n">
        <x:v>0</x:v>
      </x:c>
      <x:c r="J233" s="13" t="n">
        <x:v>0</x:v>
      </x:c>
      <x:c r="K233" s="13" t="n">
        <x:v>0</x:v>
      </x:c>
      <x:c r="L233" s="14" t="n">
        <x:f>G233-F233-SUM(H233:K233)</x:f>
        <x:v>0</x:v>
      </x:c>
    </x:row>
    <x:row r="234" ht="19" customHeight="1">
      <x:c r="A234" s="1" t="str">
        <x:v>downside</x:v>
      </x:c>
      <x:c r="B234" s="1" t="str">
        <x:v>willow</x:v>
      </x:c>
      <x:c r="C234" s="12" t="n">
        <x:v>2029</x:v>
      </x:c>
      <x:c r="D234" s="1" t="str">
        <x:v>revised</x:v>
      </x:c>
      <x:c r="E234" s="1" t="str">
        <x:v>net_income_usd</x:v>
      </x:c>
      <x:c r="F234" s="13" t="n">
        <x:v>-4320690.08</x:v>
      </x:c>
      <x:c r="G234" s="13" t="n">
        <x:v>-4320690.08</x:v>
      </x:c>
      <x:c r="H234" s="13" t="n">
        <x:v>0</x:v>
      </x:c>
      <x:c r="I234" s="13" t="n">
        <x:v>0</x:v>
      </x:c>
      <x:c r="J234" s="13" t="n">
        <x:v>0</x:v>
      </x:c>
      <x:c r="K234" s="13" t="n">
        <x:v>0</x:v>
      </x:c>
      <x:c r="L234" s="14" t="n">
        <x:f>G234-F234-SUM(H234:K234)</x:f>
        <x:v>0</x:v>
      </x:c>
    </x:row>
    <x:row r="235" ht="19" customHeight="1">
      <x:c r="A235" s="1" t="str">
        <x:v>downside</x:v>
      </x:c>
      <x:c r="B235" s="1" t="str">
        <x:v>willow</x:v>
      </x:c>
      <x:c r="C235" s="12" t="n">
        <x:v>2029</x:v>
      </x:c>
      <x:c r="D235" s="1" t="str">
        <x:v>revised</x:v>
      </x:c>
      <x:c r="E235" s="1" t="str">
        <x:v>revenue_usd</x:v>
      </x:c>
      <x:c r="F235" s="13" t="n">
        <x:v>0</x:v>
      </x:c>
      <x:c r="G235" s="13" t="n">
        <x:v>0</x:v>
      </x:c>
      <x:c r="H235" s="13" t="n">
        <x:v>0</x:v>
      </x:c>
      <x:c r="I235" s="13" t="n">
        <x:v>0</x:v>
      </x:c>
      <x:c r="J235" s="13" t="n">
        <x:v>0</x:v>
      </x:c>
      <x:c r="K235" s="13" t="n">
        <x:v>0</x:v>
      </x:c>
      <x:c r="L235" s="14" t="n">
        <x:f>G235-F235-SUM(H235:K235)</x:f>
        <x:v>0</x:v>
      </x:c>
    </x:row>
    <x:row r="236" ht="19" customHeight="1">
      <x:c r="A236" s="1" t="str">
        <x:v>downside</x:v>
      </x:c>
      <x:c r="B236" s="1" t="str">
        <x:v>willow</x:v>
      </x:c>
      <x:c r="C236" s="12" t="n">
        <x:v>2029</x:v>
      </x:c>
      <x:c r="D236" s="1" t="str">
        <x:v>synthetic_outturn</x:v>
      </x:c>
      <x:c r="E236" s="1" t="str">
        <x:v>net_income_usd</x:v>
      </x:c>
      <x:c r="F236" s="13" t="n">
        <x:v>-4320690.08</x:v>
      </x:c>
      <x:c r="G236" s="13" t="n">
        <x:v>-4320690.08</x:v>
      </x:c>
      <x:c r="H236" s="13" t="n">
        <x:v>0</x:v>
      </x:c>
      <x:c r="I236" s="13" t="n">
        <x:v>0</x:v>
      </x:c>
      <x:c r="J236" s="13" t="n">
        <x:v>0</x:v>
      </x:c>
      <x:c r="K236" s="13" t="n">
        <x:v>0</x:v>
      </x:c>
      <x:c r="L236" s="14" t="n">
        <x:f>G236-F236-SUM(H236:K236)</x:f>
        <x:v>0</x:v>
      </x:c>
    </x:row>
    <x:row r="237" ht="19" customHeight="1">
      <x:c r="A237" s="1" t="str">
        <x:v>downside</x:v>
      </x:c>
      <x:c r="B237" s="1" t="str">
        <x:v>willow</x:v>
      </x:c>
      <x:c r="C237" s="12" t="n">
        <x:v>2029</x:v>
      </x:c>
      <x:c r="D237" s="1" t="str">
        <x:v>synthetic_outturn</x:v>
      </x:c>
      <x:c r="E237" s="1" t="str">
        <x:v>revenue_usd</x:v>
      </x:c>
      <x:c r="F237" s="13" t="n">
        <x:v>0</x:v>
      </x:c>
      <x:c r="G237" s="13" t="n">
        <x:v>0</x:v>
      </x:c>
      <x:c r="H237" s="13" t="n">
        <x:v>0</x:v>
      </x:c>
      <x:c r="I237" s="13" t="n">
        <x:v>0</x:v>
      </x:c>
      <x:c r="J237" s="13" t="n">
        <x:v>0</x:v>
      </x:c>
      <x:c r="K237" s="13" t="n">
        <x:v>0</x:v>
      </x:c>
      <x:c r="L237" s="14" t="n">
        <x:f>G237-F237-SUM(H237:K237)</x:f>
        <x:v>0</x:v>
      </x:c>
    </x:row>
    <x:row r="238" ht="19" customHeight="1">
      <x:c r="A238" s="1" t="str">
        <x:v>downside</x:v>
      </x:c>
      <x:c r="B238" s="1" t="str">
        <x:v>willow</x:v>
      </x:c>
      <x:c r="C238" s="12" t="n">
        <x:v>2030</x:v>
      </x:c>
      <x:c r="D238" s="1" t="str">
        <x:v>revised</x:v>
      </x:c>
      <x:c r="E238" s="1" t="str">
        <x:v>net_income_usd</x:v>
      </x:c>
      <x:c r="F238" s="13" t="n">
        <x:v>-4396528.3824</x:v>
      </x:c>
      <x:c r="G238" s="13" t="n">
        <x:v>-4396528.3824</x:v>
      </x:c>
      <x:c r="H238" s="13" t="n">
        <x:v>0</x:v>
      </x:c>
      <x:c r="I238" s="13" t="n">
        <x:v>0</x:v>
      </x:c>
      <x:c r="J238" s="13" t="n">
        <x:v>0</x:v>
      </x:c>
      <x:c r="K238" s="13" t="n">
        <x:v>0</x:v>
      </x:c>
      <x:c r="L238" s="14" t="n">
        <x:f>G238-F238-SUM(H238:K238)</x:f>
        <x:v>0</x:v>
      </x:c>
    </x:row>
    <x:row r="239" ht="19" customHeight="1">
      <x:c r="A239" s="1" t="str">
        <x:v>downside</x:v>
      </x:c>
      <x:c r="B239" s="1" t="str">
        <x:v>willow</x:v>
      </x:c>
      <x:c r="C239" s="12" t="n">
        <x:v>2030</x:v>
      </x:c>
      <x:c r="D239" s="1" t="str">
        <x:v>revised</x:v>
      </x:c>
      <x:c r="E239" s="1" t="str">
        <x:v>revenue_usd</x:v>
      </x:c>
      <x:c r="F239" s="13" t="n">
        <x:v>0</x:v>
      </x:c>
      <x:c r="G239" s="13" t="n">
        <x:v>0</x:v>
      </x:c>
      <x:c r="H239" s="13" t="n">
        <x:v>0</x:v>
      </x:c>
      <x:c r="I239" s="13" t="n">
        <x:v>0</x:v>
      </x:c>
      <x:c r="J239" s="13" t="n">
        <x:v>0</x:v>
      </x:c>
      <x:c r="K239" s="13" t="n">
        <x:v>0</x:v>
      </x:c>
      <x:c r="L239" s="14" t="n">
        <x:f>G239-F239-SUM(H239:K239)</x:f>
        <x:v>0</x:v>
      </x:c>
    </x:row>
    <x:row r="240" ht="19" customHeight="1">
      <x:c r="A240" s="1" t="str">
        <x:v>downside</x:v>
      </x:c>
      <x:c r="B240" s="1" t="str">
        <x:v>willow</x:v>
      </x:c>
      <x:c r="C240" s="12" t="n">
        <x:v>2030</x:v>
      </x:c>
      <x:c r="D240" s="1" t="str">
        <x:v>synthetic_outturn</x:v>
      </x:c>
      <x:c r="E240" s="1" t="str">
        <x:v>net_income_usd</x:v>
      </x:c>
      <x:c r="F240" s="13" t="n">
        <x:v>-4396528.3824</x:v>
      </x:c>
      <x:c r="G240" s="13" t="n">
        <x:v>-4396528.3824</x:v>
      </x:c>
      <x:c r="H240" s="13" t="n">
        <x:v>0</x:v>
      </x:c>
      <x:c r="I240" s="13" t="n">
        <x:v>0</x:v>
      </x:c>
      <x:c r="J240" s="13" t="n">
        <x:v>0</x:v>
      </x:c>
      <x:c r="K240" s="13" t="n">
        <x:v>0</x:v>
      </x:c>
      <x:c r="L240" s="14" t="n">
        <x:f>G240-F240-SUM(H240:K240)</x:f>
        <x:v>0</x:v>
      </x:c>
    </x:row>
    <x:row r="241" ht="19" customHeight="1">
      <x:c r="A241" s="1" t="str">
        <x:v>downside</x:v>
      </x:c>
      <x:c r="B241" s="1" t="str">
        <x:v>willow</x:v>
      </x:c>
      <x:c r="C241" s="12" t="n">
        <x:v>2030</x:v>
      </x:c>
      <x:c r="D241" s="1" t="str">
        <x:v>synthetic_outturn</x:v>
      </x:c>
      <x:c r="E241" s="1" t="str">
        <x:v>revenue_usd</x:v>
      </x:c>
      <x:c r="F241" s="13" t="n">
        <x:v>0</x:v>
      </x:c>
      <x:c r="G241" s="13" t="n">
        <x:v>0</x:v>
      </x:c>
      <x:c r="H241" s="13" t="n">
        <x:v>0</x:v>
      </x:c>
      <x:c r="I241" s="13" t="n">
        <x:v>0</x:v>
      </x:c>
      <x:c r="J241" s="13" t="n">
        <x:v>0</x:v>
      </x:c>
      <x:c r="K241" s="13" t="n">
        <x:v>0</x:v>
      </x:c>
      <x:c r="L241" s="14" t="n">
        <x:f>G241-F241-SUM(H241:K241)</x:f>
        <x:v>0</x:v>
      </x:c>
    </x:row>
    <x:row r="242" ht="19" customHeight="1">
      <x:c r="A242" s="1" t="str">
        <x:v>downside</x:v>
      </x:c>
      <x:c r="B242" s="1" t="str">
        <x:v>willow</x:v>
      </x:c>
      <x:c r="C242" s="12" t="n">
        <x:v>2031</x:v>
      </x:c>
      <x:c r="D242" s="1" t="str">
        <x:v>revised</x:v>
      </x:c>
      <x:c r="E242" s="1" t="str">
        <x:v>net_income_usd</x:v>
      </x:c>
      <x:c r="F242" s="13" t="n">
        <x:v>-4566840.2212</x:v>
      </x:c>
      <x:c r="G242" s="13" t="n">
        <x:v>-4566840.2212</x:v>
      </x:c>
      <x:c r="H242" s="13" t="n">
        <x:v>0</x:v>
      </x:c>
      <x:c r="I242" s="13" t="n">
        <x:v>0</x:v>
      </x:c>
      <x:c r="J242" s="13" t="n">
        <x:v>0</x:v>
      </x:c>
      <x:c r="K242" s="13" t="n">
        <x:v>0</x:v>
      </x:c>
      <x:c r="L242" s="14" t="n">
        <x:f>G242-F242-SUM(H242:K242)</x:f>
        <x:v>0</x:v>
      </x:c>
    </x:row>
    <x:row r="243" ht="19" customHeight="1">
      <x:c r="A243" s="1" t="str">
        <x:v>downside</x:v>
      </x:c>
      <x:c r="B243" s="1" t="str">
        <x:v>willow</x:v>
      </x:c>
      <x:c r="C243" s="12" t="n">
        <x:v>2031</x:v>
      </x:c>
      <x:c r="D243" s="1" t="str">
        <x:v>revised</x:v>
      </x:c>
      <x:c r="E243" s="1" t="str">
        <x:v>revenue_usd</x:v>
      </x:c>
      <x:c r="F243" s="13" t="n">
        <x:v>0</x:v>
      </x:c>
      <x:c r="G243" s="13" t="n">
        <x:v>0</x:v>
      </x:c>
      <x:c r="H243" s="13" t="n">
        <x:v>0</x:v>
      </x:c>
      <x:c r="I243" s="13" t="n">
        <x:v>0</x:v>
      </x:c>
      <x:c r="J243" s="13" t="n">
        <x:v>0</x:v>
      </x:c>
      <x:c r="K243" s="13" t="n">
        <x:v>0</x:v>
      </x:c>
      <x:c r="L243" s="14" t="n">
        <x:f>G243-F243-SUM(H243:K243)</x:f>
        <x:v>0</x:v>
      </x:c>
    </x:row>
    <x:row r="244" ht="19" customHeight="1">
      <x:c r="A244" s="1" t="str">
        <x:v>downside</x:v>
      </x:c>
      <x:c r="B244" s="1" t="str">
        <x:v>willow</x:v>
      </x:c>
      <x:c r="C244" s="12" t="n">
        <x:v>2031</x:v>
      </x:c>
      <x:c r="D244" s="1" t="str">
        <x:v>synthetic_outturn</x:v>
      </x:c>
      <x:c r="E244" s="1" t="str">
        <x:v>net_income_usd</x:v>
      </x:c>
      <x:c r="F244" s="13" t="n">
        <x:v>-4566840.2212</x:v>
      </x:c>
      <x:c r="G244" s="13" t="n">
        <x:v>-4566840.2212</x:v>
      </x:c>
      <x:c r="H244" s="13" t="n">
        <x:v>0</x:v>
      </x:c>
      <x:c r="I244" s="13" t="n">
        <x:v>0</x:v>
      </x:c>
      <x:c r="J244" s="13" t="n">
        <x:v>0</x:v>
      </x:c>
      <x:c r="K244" s="13" t="n">
        <x:v>0</x:v>
      </x:c>
      <x:c r="L244" s="14" t="n">
        <x:f>G244-F244-SUM(H244:K244)</x:f>
        <x:v>0</x:v>
      </x:c>
    </x:row>
    <x:row r="245" ht="19" customHeight="1">
      <x:c r="A245" s="1" t="str">
        <x:v>downside</x:v>
      </x:c>
      <x:c r="B245" s="1" t="str">
        <x:v>willow</x:v>
      </x:c>
      <x:c r="C245" s="12" t="n">
        <x:v>2031</x:v>
      </x:c>
      <x:c r="D245" s="1" t="str">
        <x:v>synthetic_outturn</x:v>
      </x:c>
      <x:c r="E245" s="1" t="str">
        <x:v>revenue_usd</x:v>
      </x:c>
      <x:c r="F245" s="13" t="n">
        <x:v>0</x:v>
      </x:c>
      <x:c r="G245" s="13" t="n">
        <x:v>0</x:v>
      </x:c>
      <x:c r="H245" s="13" t="n">
        <x:v>0</x:v>
      </x:c>
      <x:c r="I245" s="13" t="n">
        <x:v>0</x:v>
      </x:c>
      <x:c r="J245" s="13" t="n">
        <x:v>0</x:v>
      </x:c>
      <x:c r="K245" s="13" t="n">
        <x:v>0</x:v>
      </x:c>
      <x:c r="L245" s="14" t="n">
        <x:f>G245-F245-SUM(H245:K245)</x:f>
        <x:v>0</x:v>
      </x:c>
    </x:row>
    <x:row r="246" ht="19" customHeight="1">
      <x:c r="A246" s="1" t="str">
        <x:v>expansion</x:v>
      </x:c>
      <x:c r="B246" s="1" t="str">
        <x:v>advisory</x:v>
      </x:c>
      <x:c r="C246" s="12" t="n">
        <x:v>2027</x:v>
      </x:c>
      <x:c r="D246" s="1" t="str">
        <x:v>revised</x:v>
      </x:c>
      <x:c r="E246" s="1" t="str">
        <x:v>net_income_usd</x:v>
      </x:c>
      <x:c r="F246" s="13" t="n">
        <x:v>5487398.6048</x:v>
      </x:c>
      <x:c r="G246" s="13" t="n">
        <x:v>5880659.479</x:v>
      </x:c>
      <x:c r="H246" s="13" t="n">
        <x:v>0</x:v>
      </x:c>
      <x:c r="I246" s="13" t="n">
        <x:v>393260.8742</x:v>
      </x:c>
      <x:c r="J246" s="13" t="n">
        <x:v>0</x:v>
      </x:c>
      <x:c r="K246" s="13" t="n">
        <x:v>0</x:v>
      </x:c>
      <x:c r="L246" s="14" t="n">
        <x:f>G246-F246-SUM(H246:K246)</x:f>
        <x:v>4.0745362639427185e-10</x:v>
      </x:c>
    </x:row>
    <x:row r="247" ht="19" customHeight="1">
      <x:c r="A247" s="1" t="str">
        <x:v>expansion</x:v>
      </x:c>
      <x:c r="B247" s="1" t="str">
        <x:v>advisory</x:v>
      </x:c>
      <x:c r="C247" s="12" t="n">
        <x:v>2027</x:v>
      </x:c>
      <x:c r="D247" s="1" t="str">
        <x:v>revised</x:v>
      </x:c>
      <x:c r="E247" s="1" t="str">
        <x:v>revenue_usd</x:v>
      </x:c>
      <x:c r="F247" s="13" t="n">
        <x:v>10982400</x:v>
      </x:c>
      <x:c r="G247" s="13" t="n">
        <x:v>11387500.8</x:v>
      </x:c>
      <x:c r="H247" s="13" t="n">
        <x:v>0</x:v>
      </x:c>
      <x:c r="I247" s="13" t="n">
        <x:v>405100.8</x:v>
      </x:c>
      <x:c r="J247" s="13" t="n">
        <x:v>0</x:v>
      </x:c>
      <x:c r="K247" s="13" t="n">
        <x:v>0</x:v>
      </x:c>
      <x:c r="L247" s="14" t="n">
        <x:f>G247-F247-SUM(H247:K247)</x:f>
        <x:v>7.566995918750763e-10</x:v>
      </x:c>
    </x:row>
    <x:row r="248" ht="19" customHeight="1">
      <x:c r="A248" s="1" t="str">
        <x:v>expansion</x:v>
      </x:c>
      <x:c r="B248" s="1" t="str">
        <x:v>advisory</x:v>
      </x:c>
      <x:c r="C248" s="12" t="n">
        <x:v>2027</x:v>
      </x:c>
      <x:c r="D248" s="1" t="str">
        <x:v>synthetic_outturn</x:v>
      </x:c>
      <x:c r="E248" s="1" t="str">
        <x:v>net_income_usd</x:v>
      </x:c>
      <x:c r="F248" s="13" t="n">
        <x:v>5880659.479</x:v>
      </x:c>
      <x:c r="G248" s="13" t="n">
        <x:v>5880659.479</x:v>
      </x:c>
      <x:c r="H248" s="13" t="n">
        <x:v>0</x:v>
      </x:c>
      <x:c r="I248" s="13" t="n">
        <x:v>0</x:v>
      </x:c>
      <x:c r="J248" s="13" t="n">
        <x:v>0</x:v>
      </x:c>
      <x:c r="K248" s="13" t="n">
        <x:v>0</x:v>
      </x:c>
      <x:c r="L248" s="14" t="n">
        <x:f>G248-F248-SUM(H248:K248)</x:f>
        <x:v>0</x:v>
      </x:c>
    </x:row>
    <x:row r="249" ht="19" customHeight="1">
      <x:c r="A249" s="1" t="str">
        <x:v>expansion</x:v>
      </x:c>
      <x:c r="B249" s="1" t="str">
        <x:v>advisory</x:v>
      </x:c>
      <x:c r="C249" s="12" t="n">
        <x:v>2027</x:v>
      </x:c>
      <x:c r="D249" s="1" t="str">
        <x:v>synthetic_outturn</x:v>
      </x:c>
      <x:c r="E249" s="1" t="str">
        <x:v>revenue_usd</x:v>
      </x:c>
      <x:c r="F249" s="13" t="n">
        <x:v>11387500.8</x:v>
      </x:c>
      <x:c r="G249" s="13" t="n">
        <x:v>11387500.8</x:v>
      </x:c>
      <x:c r="H249" s="13" t="n">
        <x:v>0</x:v>
      </x:c>
      <x:c r="I249" s="13" t="n">
        <x:v>0</x:v>
      </x:c>
      <x:c r="J249" s="13" t="n">
        <x:v>0</x:v>
      </x:c>
      <x:c r="K249" s="13" t="n">
        <x:v>0</x:v>
      </x:c>
      <x:c r="L249" s="14" t="n">
        <x:f>G249-F249-SUM(H249:K249)</x:f>
        <x:v>0</x:v>
      </x:c>
    </x:row>
    <x:row r="250" ht="19" customHeight="1">
      <x:c r="A250" s="1" t="str">
        <x:v>expansion</x:v>
      </x:c>
      <x:c r="B250" s="1" t="str">
        <x:v>advisory</x:v>
      </x:c>
      <x:c r="C250" s="12" t="n">
        <x:v>2028</x:v>
      </x:c>
      <x:c r="D250" s="1" t="str">
        <x:v>revised</x:v>
      </x:c>
      <x:c r="E250" s="1" t="str">
        <x:v>net_income_usd</x:v>
      </x:c>
      <x:c r="F250" s="13" t="n">
        <x:v>8596592.256</x:v>
      </x:c>
      <x:c r="G250" s="13" t="n">
        <x:v>9997207.4803</x:v>
      </x:c>
      <x:c r="H250" s="13" t="n">
        <x:v>0</x:v>
      </x:c>
      <x:c r="I250" s="13" t="n">
        <x:v>1400615.2243</x:v>
      </x:c>
      <x:c r="J250" s="13" t="n">
        <x:v>0</x:v>
      </x:c>
      <x:c r="K250" s="13" t="n">
        <x:v>0</x:v>
      </x:c>
      <x:c r="L250" s="14" t="n">
        <x:f>G250-F250-SUM(H250:K250)</x:f>
        <x:v>9.313225746154785e-10</x:v>
      </x:c>
    </x:row>
    <x:row r="251" ht="19" customHeight="1">
      <x:c r="A251" s="1" t="str">
        <x:v>expansion</x:v>
      </x:c>
      <x:c r="B251" s="1" t="str">
        <x:v>advisory</x:v>
      </x:c>
      <x:c r="C251" s="12" t="n">
        <x:v>2028</x:v>
      </x:c>
      <x:c r="D251" s="1" t="str">
        <x:v>revised</x:v>
      </x:c>
      <x:c r="E251" s="1" t="str">
        <x:v>revenue_usd</x:v>
      </x:c>
      <x:c r="F251" s="13" t="n">
        <x:v>14299584</x:v>
      </x:c>
      <x:c r="G251" s="13" t="n">
        <x:v>15729542.4</x:v>
      </x:c>
      <x:c r="H251" s="13" t="n">
        <x:v>0</x:v>
      </x:c>
      <x:c r="I251" s="13" t="n">
        <x:v>1429958.4</x:v>
      </x:c>
      <x:c r="J251" s="13" t="n">
        <x:v>0</x:v>
      </x:c>
      <x:c r="K251" s="13" t="n">
        <x:v>0</x:v>
      </x:c>
      <x:c r="L251" s="14" t="n">
        <x:f>G251-F251-SUM(H251:K251)</x:f>
        <x:v>4.656612873077393e-10</x:v>
      </x:c>
    </x:row>
    <x:row r="252" ht="19" customHeight="1">
      <x:c r="A252" s="1" t="str">
        <x:v>expansion</x:v>
      </x:c>
      <x:c r="B252" s="1" t="str">
        <x:v>advisory</x:v>
      </x:c>
      <x:c r="C252" s="12" t="n">
        <x:v>2028</x:v>
      </x:c>
      <x:c r="D252" s="1" t="str">
        <x:v>synthetic_outturn</x:v>
      </x:c>
      <x:c r="E252" s="1" t="str">
        <x:v>net_income_usd</x:v>
      </x:c>
      <x:c r="F252" s="13" t="n">
        <x:v>9997207.4803</x:v>
      </x:c>
      <x:c r="G252" s="13" t="n">
        <x:v>9997207.4803</x:v>
      </x:c>
      <x:c r="H252" s="13" t="n">
        <x:v>0</x:v>
      </x:c>
      <x:c r="I252" s="13" t="n">
        <x:v>0</x:v>
      </x:c>
      <x:c r="J252" s="13" t="n">
        <x:v>0</x:v>
      </x:c>
      <x:c r="K252" s="13" t="n">
        <x:v>0</x:v>
      </x:c>
      <x:c r="L252" s="14" t="n">
        <x:f>G252-F252-SUM(H252:K252)</x:f>
        <x:v>0</x:v>
      </x:c>
    </x:row>
    <x:row r="253" ht="19" customHeight="1">
      <x:c r="A253" s="1" t="str">
        <x:v>expansion</x:v>
      </x:c>
      <x:c r="B253" s="1" t="str">
        <x:v>advisory</x:v>
      </x:c>
      <x:c r="C253" s="12" t="n">
        <x:v>2028</x:v>
      </x:c>
      <x:c r="D253" s="1" t="str">
        <x:v>synthetic_outturn</x:v>
      </x:c>
      <x:c r="E253" s="1" t="str">
        <x:v>revenue_usd</x:v>
      </x:c>
      <x:c r="F253" s="13" t="n">
        <x:v>15729542.4</x:v>
      </x:c>
      <x:c r="G253" s="13" t="n">
        <x:v>15729542.4</x:v>
      </x:c>
      <x:c r="H253" s="13" t="n">
        <x:v>0</x:v>
      </x:c>
      <x:c r="I253" s="13" t="n">
        <x:v>0</x:v>
      </x:c>
      <x:c r="J253" s="13" t="n">
        <x:v>0</x:v>
      </x:c>
      <x:c r="K253" s="13" t="n">
        <x:v>0</x:v>
      </x:c>
      <x:c r="L253" s="14" t="n">
        <x:f>G253-F253-SUM(H253:K253)</x:f>
        <x:v>0</x:v>
      </x:c>
    </x:row>
    <x:row r="254" ht="19" customHeight="1">
      <x:c r="A254" s="1" t="str">
        <x:v>expansion</x:v>
      </x:c>
      <x:c r="B254" s="1" t="str">
        <x:v>advisory</x:v>
      </x:c>
      <x:c r="C254" s="12" t="n">
        <x:v>2029</x:v>
      </x:c>
      <x:c r="D254" s="1" t="str">
        <x:v>revised</x:v>
      </x:c>
      <x:c r="E254" s="1" t="str">
        <x:v>net_income_usd</x:v>
      </x:c>
      <x:c r="F254" s="13" t="n">
        <x:v>8434305.456</x:v>
      </x:c>
      <x:c r="G254" s="13" t="n">
        <x:v>9834920.6803</x:v>
      </x:c>
      <x:c r="H254" s="13" t="n">
        <x:v>0</x:v>
      </x:c>
      <x:c r="I254" s="13" t="n">
        <x:v>1400615.2243</x:v>
      </x:c>
      <x:c r="J254" s="13" t="n">
        <x:v>0</x:v>
      </x:c>
      <x:c r="K254" s="13" t="n">
        <x:v>0</x:v>
      </x:c>
      <x:c r="L254" s="14" t="n">
        <x:f>G254-F254-SUM(H254:K254)</x:f>
        <x:v>-9.313225746154785e-10</x:v>
      </x:c>
    </x:row>
    <x:row r="255" ht="19" customHeight="1">
      <x:c r="A255" s="1" t="str">
        <x:v>expansion</x:v>
      </x:c>
      <x:c r="B255" s="1" t="str">
        <x:v>advisory</x:v>
      </x:c>
      <x:c r="C255" s="12" t="n">
        <x:v>2029</x:v>
      </x:c>
      <x:c r="D255" s="1" t="str">
        <x:v>revised</x:v>
      </x:c>
      <x:c r="E255" s="1" t="str">
        <x:v>revenue_usd</x:v>
      </x:c>
      <x:c r="F255" s="13" t="n">
        <x:v>14299584</x:v>
      </x:c>
      <x:c r="G255" s="13" t="n">
        <x:v>15729542.4</x:v>
      </x:c>
      <x:c r="H255" s="13" t="n">
        <x:v>0</x:v>
      </x:c>
      <x:c r="I255" s="13" t="n">
        <x:v>1429958.4</x:v>
      </x:c>
      <x:c r="J255" s="13" t="n">
        <x:v>0</x:v>
      </x:c>
      <x:c r="K255" s="13" t="n">
        <x:v>0</x:v>
      </x:c>
      <x:c r="L255" s="14" t="n">
        <x:f>G255-F255-SUM(H255:K255)</x:f>
        <x:v>4.656612873077393e-10</x:v>
      </x:c>
    </x:row>
    <x:row r="256" ht="19" customHeight="1">
      <x:c r="A256" s="1" t="str">
        <x:v>expansion</x:v>
      </x:c>
      <x:c r="B256" s="1" t="str">
        <x:v>advisory</x:v>
      </x:c>
      <x:c r="C256" s="12" t="n">
        <x:v>2029</x:v>
      </x:c>
      <x:c r="D256" s="1" t="str">
        <x:v>synthetic_outturn</x:v>
      </x:c>
      <x:c r="E256" s="1" t="str">
        <x:v>net_income_usd</x:v>
      </x:c>
      <x:c r="F256" s="13" t="n">
        <x:v>9834920.6803</x:v>
      </x:c>
      <x:c r="G256" s="13" t="n">
        <x:v>9834920.6803</x:v>
      </x:c>
      <x:c r="H256" s="13" t="n">
        <x:v>0</x:v>
      </x:c>
      <x:c r="I256" s="13" t="n">
        <x:v>0</x:v>
      </x:c>
      <x:c r="J256" s="13" t="n">
        <x:v>0</x:v>
      </x:c>
      <x:c r="K256" s="13" t="n">
        <x:v>0</x:v>
      </x:c>
      <x:c r="L256" s="14" t="n">
        <x:f>G256-F256-SUM(H256:K256)</x:f>
        <x:v>0</x:v>
      </x:c>
    </x:row>
    <x:row r="257" ht="19" customHeight="1">
      <x:c r="A257" s="1" t="str">
        <x:v>expansion</x:v>
      </x:c>
      <x:c r="B257" s="1" t="str">
        <x:v>advisory</x:v>
      </x:c>
      <x:c r="C257" s="12" t="n">
        <x:v>2029</x:v>
      </x:c>
      <x:c r="D257" s="1" t="str">
        <x:v>synthetic_outturn</x:v>
      </x:c>
      <x:c r="E257" s="1" t="str">
        <x:v>revenue_usd</x:v>
      </x:c>
      <x:c r="F257" s="13" t="n">
        <x:v>15729542.4</x:v>
      </x:c>
      <x:c r="G257" s="13" t="n">
        <x:v>15729542.4</x:v>
      </x:c>
      <x:c r="H257" s="13" t="n">
        <x:v>0</x:v>
      </x:c>
      <x:c r="I257" s="13" t="n">
        <x:v>0</x:v>
      </x:c>
      <x:c r="J257" s="13" t="n">
        <x:v>0</x:v>
      </x:c>
      <x:c r="K257" s="13" t="n">
        <x:v>0</x:v>
      </x:c>
      <x:c r="L257" s="14" t="n">
        <x:f>G257-F257-SUM(H257:K257)</x:f>
        <x:v>0</x:v>
      </x:c>
    </x:row>
    <x:row r="258" ht="19" customHeight="1">
      <x:c r="A258" s="1" t="str">
        <x:v>expansion</x:v>
      </x:c>
      <x:c r="B258" s="1" t="str">
        <x:v>advisory</x:v>
      </x:c>
      <x:c r="C258" s="12" t="n">
        <x:v>2030</x:v>
      </x:c>
      <x:c r="D258" s="1" t="str">
        <x:v>revised</x:v>
      </x:c>
      <x:c r="E258" s="1" t="str">
        <x:v>net_income_usd</x:v>
      </x:c>
      <x:c r="F258" s="13" t="n">
        <x:v>8267150.052</x:v>
      </x:c>
      <x:c r="G258" s="13" t="n">
        <x:v>9667765.2763</x:v>
      </x:c>
      <x:c r="H258" s="13" t="n">
        <x:v>0</x:v>
      </x:c>
      <x:c r="I258" s="13" t="n">
        <x:v>1400615.2243</x:v>
      </x:c>
      <x:c r="J258" s="13" t="n">
        <x:v>0</x:v>
      </x:c>
      <x:c r="K258" s="13" t="n">
        <x:v>0</x:v>
      </x:c>
      <x:c r="L258" s="14" t="n">
        <x:f>G258-F258-SUM(H258:K258)</x:f>
        <x:v>0</x:v>
      </x:c>
    </x:row>
    <x:row r="259" ht="19" customHeight="1">
      <x:c r="A259" s="1" t="str">
        <x:v>expansion</x:v>
      </x:c>
      <x:c r="B259" s="1" t="str">
        <x:v>advisory</x:v>
      </x:c>
      <x:c r="C259" s="12" t="n">
        <x:v>2030</x:v>
      </x:c>
      <x:c r="D259" s="1" t="str">
        <x:v>revised</x:v>
      </x:c>
      <x:c r="E259" s="1" t="str">
        <x:v>revenue_usd</x:v>
      </x:c>
      <x:c r="F259" s="13" t="n">
        <x:v>14299584</x:v>
      </x:c>
      <x:c r="G259" s="13" t="n">
        <x:v>15729542.4</x:v>
      </x:c>
      <x:c r="H259" s="13" t="n">
        <x:v>0</x:v>
      </x:c>
      <x:c r="I259" s="13" t="n">
        <x:v>1429958.4</x:v>
      </x:c>
      <x:c r="J259" s="13" t="n">
        <x:v>0</x:v>
      </x:c>
      <x:c r="K259" s="13" t="n">
        <x:v>0</x:v>
      </x:c>
      <x:c r="L259" s="14" t="n">
        <x:f>G259-F259-SUM(H259:K259)</x:f>
        <x:v>4.656612873077393e-10</x:v>
      </x:c>
    </x:row>
    <x:row r="260" ht="19" customHeight="1">
      <x:c r="A260" s="1" t="str">
        <x:v>expansion</x:v>
      </x:c>
      <x:c r="B260" s="1" t="str">
        <x:v>advisory</x:v>
      </x:c>
      <x:c r="C260" s="12" t="n">
        <x:v>2030</x:v>
      </x:c>
      <x:c r="D260" s="1" t="str">
        <x:v>synthetic_outturn</x:v>
      </x:c>
      <x:c r="E260" s="1" t="str">
        <x:v>net_income_usd</x:v>
      </x:c>
      <x:c r="F260" s="13" t="n">
        <x:v>9667765.2763</x:v>
      </x:c>
      <x:c r="G260" s="13" t="n">
        <x:v>9667765.2763</x:v>
      </x:c>
      <x:c r="H260" s="13" t="n">
        <x:v>0</x:v>
      </x:c>
      <x:c r="I260" s="13" t="n">
        <x:v>0</x:v>
      </x:c>
      <x:c r="J260" s="13" t="n">
        <x:v>0</x:v>
      </x:c>
      <x:c r="K260" s="13" t="n">
        <x:v>0</x:v>
      </x:c>
      <x:c r="L260" s="14" t="n">
        <x:f>G260-F260-SUM(H260:K260)</x:f>
        <x:v>0</x:v>
      </x:c>
    </x:row>
    <x:row r="261" ht="19" customHeight="1">
      <x:c r="A261" s="1" t="str">
        <x:v>expansion</x:v>
      </x:c>
      <x:c r="B261" s="1" t="str">
        <x:v>advisory</x:v>
      </x:c>
      <x:c r="C261" s="12" t="n">
        <x:v>2030</x:v>
      </x:c>
      <x:c r="D261" s="1" t="str">
        <x:v>synthetic_outturn</x:v>
      </x:c>
      <x:c r="E261" s="1" t="str">
        <x:v>revenue_usd</x:v>
      </x:c>
      <x:c r="F261" s="13" t="n">
        <x:v>15729542.4</x:v>
      </x:c>
      <x:c r="G261" s="13" t="n">
        <x:v>15729542.4</x:v>
      </x:c>
      <x:c r="H261" s="13" t="n">
        <x:v>0</x:v>
      </x:c>
      <x:c r="I261" s="13" t="n">
        <x:v>0</x:v>
      </x:c>
      <x:c r="J261" s="13" t="n">
        <x:v>0</x:v>
      </x:c>
      <x:c r="K261" s="13" t="n">
        <x:v>0</x:v>
      </x:c>
      <x:c r="L261" s="14" t="n">
        <x:f>G261-F261-SUM(H261:K261)</x:f>
        <x:v>0</x:v>
      </x:c>
    </x:row>
    <x:row r="262" ht="19" customHeight="1">
      <x:c r="A262" s="1" t="str">
        <x:v>expansion</x:v>
      </x:c>
      <x:c r="B262" s="1" t="str">
        <x:v>advisory</x:v>
      </x:c>
      <x:c r="C262" s="12" t="n">
        <x:v>2031</x:v>
      </x:c>
      <x:c r="D262" s="1" t="str">
        <x:v>revised</x:v>
      </x:c>
      <x:c r="E262" s="1" t="str">
        <x:v>net_income_usd</x:v>
      </x:c>
      <x:c r="F262" s="13" t="n">
        <x:v>8094979.9788</x:v>
      </x:c>
      <x:c r="G262" s="13" t="n">
        <x:v>9495595.2031</x:v>
      </x:c>
      <x:c r="H262" s="13" t="n">
        <x:v>0</x:v>
      </x:c>
      <x:c r="I262" s="13" t="n">
        <x:v>1400615.2243</x:v>
      </x:c>
      <x:c r="J262" s="13" t="n">
        <x:v>0</x:v>
      </x:c>
      <x:c r="K262" s="13" t="n">
        <x:v>0</x:v>
      </x:c>
      <x:c r="L262" s="14" t="n">
        <x:f>G262-F262-SUM(H262:K262)</x:f>
        <x:v>0</x:v>
      </x:c>
    </x:row>
    <x:row r="263" ht="19" customHeight="1">
      <x:c r="A263" s="1" t="str">
        <x:v>expansion</x:v>
      </x:c>
      <x:c r="B263" s="1" t="str">
        <x:v>advisory</x:v>
      </x:c>
      <x:c r="C263" s="12" t="n">
        <x:v>2031</x:v>
      </x:c>
      <x:c r="D263" s="1" t="str">
        <x:v>revised</x:v>
      </x:c>
      <x:c r="E263" s="1" t="str">
        <x:v>revenue_usd</x:v>
      </x:c>
      <x:c r="F263" s="13" t="n">
        <x:v>14299584</x:v>
      </x:c>
      <x:c r="G263" s="13" t="n">
        <x:v>15729542.4</x:v>
      </x:c>
      <x:c r="H263" s="13" t="n">
        <x:v>0</x:v>
      </x:c>
      <x:c r="I263" s="13" t="n">
        <x:v>1429958.4</x:v>
      </x:c>
      <x:c r="J263" s="13" t="n">
        <x:v>0</x:v>
      </x:c>
      <x:c r="K263" s="13" t="n">
        <x:v>0</x:v>
      </x:c>
      <x:c r="L263" s="14" t="n">
        <x:f>G263-F263-SUM(H263:K263)</x:f>
        <x:v>4.656612873077393e-10</x:v>
      </x:c>
    </x:row>
    <x:row r="264" ht="19" customHeight="1">
      <x:c r="A264" s="1" t="str">
        <x:v>expansion</x:v>
      </x:c>
      <x:c r="B264" s="1" t="str">
        <x:v>advisory</x:v>
      </x:c>
      <x:c r="C264" s="12" t="n">
        <x:v>2031</x:v>
      </x:c>
      <x:c r="D264" s="1" t="str">
        <x:v>synthetic_outturn</x:v>
      </x:c>
      <x:c r="E264" s="1" t="str">
        <x:v>net_income_usd</x:v>
      </x:c>
      <x:c r="F264" s="13" t="n">
        <x:v>9495595.2031</x:v>
      </x:c>
      <x:c r="G264" s="13" t="n">
        <x:v>9495595.2031</x:v>
      </x:c>
      <x:c r="H264" s="13" t="n">
        <x:v>0</x:v>
      </x:c>
      <x:c r="I264" s="13" t="n">
        <x:v>0</x:v>
      </x:c>
      <x:c r="J264" s="13" t="n">
        <x:v>0</x:v>
      </x:c>
      <x:c r="K264" s="13" t="n">
        <x:v>0</x:v>
      </x:c>
      <x:c r="L264" s="14" t="n">
        <x:f>G264-F264-SUM(H264:K264)</x:f>
        <x:v>0</x:v>
      </x:c>
    </x:row>
    <x:row r="265" ht="19" customHeight="1">
      <x:c r="A265" s="1" t="str">
        <x:v>expansion</x:v>
      </x:c>
      <x:c r="B265" s="1" t="str">
        <x:v>advisory</x:v>
      </x:c>
      <x:c r="C265" s="12" t="n">
        <x:v>2031</x:v>
      </x:c>
      <x:c r="D265" s="1" t="str">
        <x:v>synthetic_outturn</x:v>
      </x:c>
      <x:c r="E265" s="1" t="str">
        <x:v>revenue_usd</x:v>
      </x:c>
      <x:c r="F265" s="13" t="n">
        <x:v>15729542.4</x:v>
      </x:c>
      <x:c r="G265" s="13" t="n">
        <x:v>15729542.4</x:v>
      </x:c>
      <x:c r="H265" s="13" t="n">
        <x:v>0</x:v>
      </x:c>
      <x:c r="I265" s="13" t="n">
        <x:v>0</x:v>
      </x:c>
      <x:c r="J265" s="13" t="n">
        <x:v>0</x:v>
      </x:c>
      <x:c r="K265" s="13" t="n">
        <x:v>0</x:v>
      </x:c>
      <x:c r="L265" s="14" t="n">
        <x:f>G265-F265-SUM(H265:K265)</x:f>
        <x:v>0</x:v>
      </x:c>
    </x:row>
    <x:row r="266" ht="19" customHeight="1">
      <x:c r="A266" s="1" t="str">
        <x:v>expansion</x:v>
      </x:c>
      <x:c r="B266" s="1" t="str">
        <x:v>atlas-meridian</x:v>
      </x:c>
      <x:c r="C266" s="12" t="n">
        <x:v>2027</x:v>
      </x:c>
      <x:c r="D266" s="1" t="str">
        <x:v>revised</x:v>
      </x:c>
      <x:c r="E266" s="1" t="str">
        <x:v>net_income_usd</x:v>
      </x:c>
      <x:c r="F266" s="13" t="n">
        <x:v>-2441385.1772</x:v>
      </x:c>
      <x:c r="G266" s="13" t="n">
        <x:v>-2432065.1132</x:v>
      </x:c>
      <x:c r="H266" s="13" t="n">
        <x:v>13303.68</x:v>
      </x:c>
      <x:c r="I266" s="13" t="n">
        <x:v>-3983.616</x:v>
      </x:c>
      <x:c r="J266" s="13" t="n">
        <x:v>0</x:v>
      </x:c>
      <x:c r="K266" s="13" t="n">
        <x:v>0</x:v>
      </x:c>
      <x:c r="L266" s="14" t="n">
        <x:f>G266-F266-SUM(H266:K266)</x:f>
        <x:v>-2.2009771782904863e-10</x:v>
      </x:c>
    </x:row>
    <x:row r="267" ht="19" customHeight="1">
      <x:c r="A267" s="1" t="str">
        <x:v>expansion</x:v>
      </x:c>
      <x:c r="B267" s="1" t="str">
        <x:v>atlas-meridian</x:v>
      </x:c>
      <x:c r="C267" s="12" t="n">
        <x:v>2027</x:v>
      </x:c>
      <x:c r="D267" s="1" t="str">
        <x:v>revised</x:v>
      </x:c>
      <x:c r="E267" s="1" t="str">
        <x:v>revenue_usd</x:v>
      </x:c>
      <x:c r="F267" s="13" t="n">
        <x:v>4511000</x:v>
      </x:c>
      <x:c r="G267" s="13" t="n">
        <x:v>4524416</x:v>
      </x:c>
      <x:c r="H267" s="13" t="n">
        <x:v>13416</x:v>
      </x:c>
      <x:c r="I267" s="13" t="n">
        <x:v>0</x:v>
      </x:c>
      <x:c r="J267" s="13" t="n">
        <x:v>0</x:v>
      </x:c>
      <x:c r="K267" s="13" t="n">
        <x:v>0</x:v>
      </x:c>
      <x:c r="L267" s="14" t="n">
        <x:f>G267-F267-SUM(H267:K267)</x:f>
        <x:v>0</x:v>
      </x:c>
    </x:row>
    <x:row r="268" ht="19" customHeight="1">
      <x:c r="A268" s="1" t="str">
        <x:v>expansion</x:v>
      </x:c>
      <x:c r="B268" s="1" t="str">
        <x:v>atlas-meridian</x:v>
      </x:c>
      <x:c r="C268" s="12" t="n">
        <x:v>2027</x:v>
      </x:c>
      <x:c r="D268" s="1" t="str">
        <x:v>synthetic_outturn</x:v>
      </x:c>
      <x:c r="E268" s="1" t="str">
        <x:v>net_income_usd</x:v>
      </x:c>
      <x:c r="F268" s="13" t="n">
        <x:v>-2432065.1132</x:v>
      </x:c>
      <x:c r="G268" s="13" t="n">
        <x:v>-2553819.9932</x:v>
      </x:c>
      <x:c r="H268" s="13" t="n">
        <x:v>0</x:v>
      </x:c>
      <x:c r="I268" s="13" t="n">
        <x:v>0</x:v>
      </x:c>
      <x:c r="J268" s="13" t="n">
        <x:v>-121754.88</x:v>
      </x:c>
      <x:c r="K268" s="13" t="n">
        <x:v>0</x:v>
      </x:c>
      <x:c r="L268" s="14" t="n">
        <x:f>G268-F268-SUM(H268:K268)</x:f>
        <x:v>1.1641532182693481e-10</x:v>
      </x:c>
    </x:row>
    <x:row r="269" ht="19" customHeight="1">
      <x:c r="A269" s="1" t="str">
        <x:v>expansion</x:v>
      </x:c>
      <x:c r="B269" s="1" t="str">
        <x:v>atlas-meridian</x:v>
      </x:c>
      <x:c r="C269" s="12" t="n">
        <x:v>2027</x:v>
      </x:c>
      <x:c r="D269" s="1" t="str">
        <x:v>synthetic_outturn</x:v>
      </x:c>
      <x:c r="E269" s="1" t="str">
        <x:v>revenue_usd</x:v>
      </x:c>
      <x:c r="F269" s="13" t="n">
        <x:v>4524416</x:v>
      </x:c>
      <x:c r="G269" s="13" t="n">
        <x:v>4395872</x:v>
      </x:c>
      <x:c r="H269" s="13" t="n">
        <x:v>0</x:v>
      </x:c>
      <x:c r="I269" s="13" t="n">
        <x:v>0</x:v>
      </x:c>
      <x:c r="J269" s="13" t="n">
        <x:v>-128544</x:v>
      </x:c>
      <x:c r="K269" s="13" t="n">
        <x:v>0</x:v>
      </x:c>
      <x:c r="L269" s="14" t="n">
        <x:f>G269-F269-SUM(H269:K269)</x:f>
        <x:v>0</x:v>
      </x:c>
    </x:row>
    <x:row r="270" ht="19" customHeight="1">
      <x:c r="A270" s="1" t="str">
        <x:v>expansion</x:v>
      </x:c>
      <x:c r="B270" s="1" t="str">
        <x:v>atlas-meridian</x:v>
      </x:c>
      <x:c r="C270" s="12" t="n">
        <x:v>2028</x:v>
      </x:c>
      <x:c r="D270" s="1" t="str">
        <x:v>revised</x:v>
      </x:c>
      <x:c r="E270" s="1" t="str">
        <x:v>net_income_usd</x:v>
      </x:c>
      <x:c r="F270" s="13" t="n">
        <x:v>-1602896.2708</x:v>
      </x:c>
      <x:c r="G270" s="13" t="n">
        <x:v>-1355119.9732</x:v>
      </x:c>
      <x:c r="H270" s="13" t="n">
        <x:v>45460.1472</x:v>
      </x:c>
      <x:c r="I270" s="13" t="n">
        <x:v>202316.1504</x:v>
      </x:c>
      <x:c r="J270" s="13" t="n">
        <x:v>0</x:v>
      </x:c>
      <x:c r="K270" s="13" t="n">
        <x:v>0</x:v>
      </x:c>
      <x:c r="L270" s="14" t="n">
        <x:f>G270-F270-SUM(H270:K270)</x:f>
        <x:v>1.4551915228366852e-10</x:v>
      </x:c>
    </x:row>
    <x:row r="271" ht="19" customHeight="1">
      <x:c r="A271" s="1" t="str">
        <x:v>expansion</x:v>
      </x:c>
      <x:c r="B271" s="1" t="str">
        <x:v>atlas-meridian</x:v>
      </x:c>
      <x:c r="C271" s="12" t="n">
        <x:v>2028</x:v>
      </x:c>
      <x:c r="D271" s="1" t="str">
        <x:v>revised</x:v>
      </x:c>
      <x:c r="E271" s="1" t="str">
        <x:v>revenue_usd</x:v>
      </x:c>
      <x:c r="F271" s="13" t="n">
        <x:v>5761184</x:v>
      </x:c>
      <x:c r="G271" s="13" t="n">
        <x:v>6025048.64</x:v>
      </x:c>
      <x:c r="H271" s="13" t="n">
        <x:v>45464.64</x:v>
      </x:c>
      <x:c r="I271" s="13" t="n">
        <x:v>218400</x:v>
      </x:c>
      <x:c r="J271" s="13" t="n">
        <x:v>0</x:v>
      </x:c>
      <x:c r="K271" s="13" t="n">
        <x:v>0</x:v>
      </x:c>
      <x:c r="L271" s="14" t="n">
        <x:f>G271-F271-SUM(H271:K271)</x:f>
        <x:v>-3.4924596548080444e-10</x:v>
      </x:c>
    </x:row>
    <x:row r="272" ht="19" customHeight="1">
      <x:c r="A272" s="1" t="str">
        <x:v>expansion</x:v>
      </x:c>
      <x:c r="B272" s="1" t="str">
        <x:v>atlas-meridian</x:v>
      </x:c>
      <x:c r="C272" s="12" t="n">
        <x:v>2028</x:v>
      </x:c>
      <x:c r="D272" s="1" t="str">
        <x:v>synthetic_outturn</x:v>
      </x:c>
      <x:c r="E272" s="1" t="str">
        <x:v>net_income_usd</x:v>
      </x:c>
      <x:c r="F272" s="13" t="n">
        <x:v>-1355119.9732</x:v>
      </x:c>
      <x:c r="G272" s="13" t="n">
        <x:v>-1360364.5684</x:v>
      </x:c>
      <x:c r="H272" s="13" t="n">
        <x:v>0</x:v>
      </x:c>
      <x:c r="I272" s="13" t="n">
        <x:v>0</x:v>
      </x:c>
      <x:c r="J272" s="13" t="n">
        <x:v>-5244.5952</x:v>
      </x:c>
      <x:c r="K272" s="13" t="n">
        <x:v>0</x:v>
      </x:c>
      <x:c r="L272" s="14" t="n">
        <x:f>G272-F272-SUM(H272:K272)</x:f>
        <x:v>-9.822542779147625e-11</x:v>
      </x:c>
    </x:row>
    <x:row r="273" ht="19" customHeight="1">
      <x:c r="A273" s="1" t="str">
        <x:v>expansion</x:v>
      </x:c>
      <x:c r="B273" s="1" t="str">
        <x:v>atlas-meridian</x:v>
      </x:c>
      <x:c r="C273" s="12" t="n">
        <x:v>2028</x:v>
      </x:c>
      <x:c r="D273" s="1" t="str">
        <x:v>synthetic_outturn</x:v>
      </x:c>
      <x:c r="E273" s="1" t="str">
        <x:v>revenue_usd</x:v>
      </x:c>
      <x:c r="F273" s="13" t="n">
        <x:v>6025048.64</x:v>
      </x:c>
      <x:c r="G273" s="13" t="n">
        <x:v>6019906.88</x:v>
      </x:c>
      <x:c r="H273" s="13" t="n">
        <x:v>0</x:v>
      </x:c>
      <x:c r="I273" s="13" t="n">
        <x:v>0</x:v>
      </x:c>
      <x:c r="J273" s="13" t="n">
        <x:v>-5141.76</x:v>
      </x:c>
      <x:c r="K273" s="13" t="n">
        <x:v>0</x:v>
      </x:c>
      <x:c r="L273" s="14" t="n">
        <x:f>G273-F273-SUM(H273:K273)</x:f>
        <x:v>2.2373569663614035e-10</x:v>
      </x:c>
    </x:row>
    <x:row r="274" ht="19" customHeight="1">
      <x:c r="A274" s="1" t="str">
        <x:v>expansion</x:v>
      </x:c>
      <x:c r="B274" s="1" t="str">
        <x:v>atlas-meridian</x:v>
      </x:c>
      <x:c r="C274" s="12" t="n">
        <x:v>2029</x:v>
      </x:c>
      <x:c r="D274" s="1" t="str">
        <x:v>revised</x:v>
      </x:c>
      <x:c r="E274" s="1" t="str">
        <x:v>net_income_usd</x:v>
      </x:c>
      <x:c r="F274" s="13" t="n">
        <x:v>-1667895.5012</x:v>
      </x:c>
      <x:c r="G274" s="13" t="n">
        <x:v>-1418300.7977</x:v>
      </x:c>
      <x:c r="H274" s="13" t="n">
        <x:v>47278.5531</x:v>
      </x:c>
      <x:c r="I274" s="13" t="n">
        <x:v>202316.1504</x:v>
      </x:c>
      <x:c r="J274" s="13" t="n">
        <x:v>0</x:v>
      </x:c>
      <x:c r="K274" s="13" t="n">
        <x:v>0</x:v>
      </x:c>
      <x:c r="L274" s="14" t="n">
        <x:f>G274-F274-SUM(H274:K274)</x:f>
        <x:v>5.820766091346741e-11</x:v>
      </x:c>
    </x:row>
    <x:row r="275" ht="19" customHeight="1">
      <x:c r="A275" s="1" t="str">
        <x:v>expansion</x:v>
      </x:c>
      <x:c r="B275" s="1" t="str">
        <x:v>atlas-meridian</x:v>
      </x:c>
      <x:c r="C275" s="12" t="n">
        <x:v>2029</x:v>
      </x:c>
      <x:c r="D275" s="1" t="str">
        <x:v>revised</x:v>
      </x:c>
      <x:c r="E275" s="1" t="str">
        <x:v>revenue_usd</x:v>
      </x:c>
      <x:c r="F275" s="13" t="n">
        <x:v>5904271.36</x:v>
      </x:c>
      <x:c r="G275" s="13" t="n">
        <x:v>6169954.5856</x:v>
      </x:c>
      <x:c r="H275" s="13" t="n">
        <x:v>47283.2256</x:v>
      </x:c>
      <x:c r="I275" s="13" t="n">
        <x:v>218400</x:v>
      </x:c>
      <x:c r="J275" s="13" t="n">
        <x:v>0</x:v>
      </x:c>
      <x:c r="K275" s="13" t="n">
        <x:v>0</x:v>
      </x:c>
      <x:c r="L275" s="14" t="n">
        <x:f>G275-F275-SUM(H275:K275)</x:f>
        <x:v>-4.656612873077393e-10</x:v>
      </x:c>
    </x:row>
    <x:row r="276" ht="19" customHeight="1">
      <x:c r="A276" s="1" t="str">
        <x:v>expansion</x:v>
      </x:c>
      <x:c r="B276" s="1" t="str">
        <x:v>atlas-meridian</x:v>
      </x:c>
      <x:c r="C276" s="12" t="n">
        <x:v>2029</x:v>
      </x:c>
      <x:c r="D276" s="1" t="str">
        <x:v>synthetic_outturn</x:v>
      </x:c>
      <x:c r="E276" s="1" t="str">
        <x:v>net_income_usd</x:v>
      </x:c>
      <x:c r="F276" s="13" t="n">
        <x:v>-1418300.7977</x:v>
      </x:c>
      <x:c r="G276" s="13" t="n">
        <x:v>-1423755.1767</x:v>
      </x:c>
      <x:c r="H276" s="13" t="n">
        <x:v>0</x:v>
      </x:c>
      <x:c r="I276" s="13" t="n">
        <x:v>0</x:v>
      </x:c>
      <x:c r="J276" s="13" t="n">
        <x:v>-5454.379</x:v>
      </x:c>
      <x:c r="K276" s="13" t="n">
        <x:v>0</x:v>
      </x:c>
      <x:c r="L276" s="14" t="n">
        <x:f>G276-F276-SUM(H276:K276)</x:f>
        <x:v>4.274625098332763e-11</x:v>
      </x:c>
    </x:row>
    <x:row r="277" ht="19" customHeight="1">
      <x:c r="A277" s="1" t="str">
        <x:v>expansion</x:v>
      </x:c>
      <x:c r="B277" s="1" t="str">
        <x:v>atlas-meridian</x:v>
      </x:c>
      <x:c r="C277" s="12" t="n">
        <x:v>2029</x:v>
      </x:c>
      <x:c r="D277" s="1" t="str">
        <x:v>synthetic_outturn</x:v>
      </x:c>
      <x:c r="E277" s="1" t="str">
        <x:v>revenue_usd</x:v>
      </x:c>
      <x:c r="F277" s="13" t="n">
        <x:v>6169954.5856</x:v>
      </x:c>
      <x:c r="G277" s="13" t="n">
        <x:v>6164607.1552</x:v>
      </x:c>
      <x:c r="H277" s="13" t="n">
        <x:v>0</x:v>
      </x:c>
      <x:c r="I277" s="13" t="n">
        <x:v>0</x:v>
      </x:c>
      <x:c r="J277" s="13" t="n">
        <x:v>-5347.4304</x:v>
      </x:c>
      <x:c r="K277" s="13" t="n">
        <x:v>0</x:v>
      </x:c>
      <x:c r="L277" s="14" t="n">
        <x:f>G277-F277-SUM(H277:K277)</x:f>
        <x:v>4.638422979041934e-11</x:v>
      </x:c>
    </x:row>
    <x:row r="278" ht="19" customHeight="1">
      <x:c r="A278" s="1" t="str">
        <x:v>expansion</x:v>
      </x:c>
      <x:c r="B278" s="1" t="str">
        <x:v>atlas-meridian</x:v>
      </x:c>
      <x:c r="C278" s="12" t="n">
        <x:v>2030</x:v>
      </x:c>
      <x:c r="D278" s="1" t="str">
        <x:v>revised</x:v>
      </x:c>
      <x:c r="E278" s="1" t="str">
        <x:v>net_income_usd</x:v>
      </x:c>
      <x:c r="F278" s="13" t="n">
        <x:v>-1733413.8948</x:v>
      </x:c>
      <x:c r="G278" s="13" t="n">
        <x:v>-1481928.0495</x:v>
      </x:c>
      <x:c r="H278" s="13" t="n">
        <x:v>49169.6949</x:v>
      </x:c>
      <x:c r="I278" s="13" t="n">
        <x:v>202316.1504</x:v>
      </x:c>
      <x:c r="J278" s="13" t="n">
        <x:v>0</x:v>
      </x:c>
      <x:c r="K278" s="13" t="n">
        <x:v>0</x:v>
      </x:c>
      <x:c r="L278" s="14" t="n">
        <x:f>G278-F278-SUM(H278:K278)</x:f>
        <x:v>-8.731149137020111e-11</x:v>
      </x:c>
    </x:row>
    <x:row r="279" ht="19" customHeight="1">
      <x:c r="A279" s="1" t="str">
        <x:v>expansion</x:v>
      </x:c>
      <x:c r="B279" s="1" t="str">
        <x:v>atlas-meridian</x:v>
      </x:c>
      <x:c r="C279" s="12" t="n">
        <x:v>2030</x:v>
      </x:c>
      <x:c r="D279" s="1" t="str">
        <x:v>revised</x:v>
      </x:c>
      <x:c r="E279" s="1" t="str">
        <x:v>revenue_usd</x:v>
      </x:c>
      <x:c r="F279" s="13" t="n">
        <x:v>6053082.2144</x:v>
      </x:c>
      <x:c r="G279" s="13" t="n">
        <x:v>6320656.7688</x:v>
      </x:c>
      <x:c r="H279" s="13" t="n">
        <x:v>49174.5544</x:v>
      </x:c>
      <x:c r="I279" s="13" t="n">
        <x:v>218400</x:v>
      </x:c>
      <x:c r="J279" s="13" t="n">
        <x:v>0</x:v>
      </x:c>
      <x:c r="K279" s="13" t="n">
        <x:v>0</x:v>
      </x:c>
      <x:c r="L279" s="14" t="n">
        <x:f>G279-F279-SUM(H279:K279)</x:f>
        <x:v>-2.3283064365386963e-10</x:v>
      </x:c>
    </x:row>
    <x:row r="280" ht="19" customHeight="1">
      <x:c r="A280" s="1" t="str">
        <x:v>expansion</x:v>
      </x:c>
      <x:c r="B280" s="1" t="str">
        <x:v>atlas-meridian</x:v>
      </x:c>
      <x:c r="C280" s="12" t="n">
        <x:v>2030</x:v>
      </x:c>
      <x:c r="D280" s="1" t="str">
        <x:v>synthetic_outturn</x:v>
      </x:c>
      <x:c r="E280" s="1" t="str">
        <x:v>net_income_usd</x:v>
      </x:c>
      <x:c r="F280" s="13" t="n">
        <x:v>-1481928.0495</x:v>
      </x:c>
      <x:c r="G280" s="13" t="n">
        <x:v>-1487600.6036</x:v>
      </x:c>
      <x:c r="H280" s="13" t="n">
        <x:v>0</x:v>
      </x:c>
      <x:c r="I280" s="13" t="n">
        <x:v>0</x:v>
      </x:c>
      <x:c r="J280" s="13" t="n">
        <x:v>-5672.5541</x:v>
      </x:c>
      <x:c r="K280" s="13" t="n">
        <x:v>0</x:v>
      </x:c>
      <x:c r="L280" s="14" t="n">
        <x:f>G280-F280-SUM(H280:K280)</x:f>
        <x:v>-6.639311322942376e-11</x:v>
      </x:c>
    </x:row>
    <x:row r="281" ht="19" customHeight="1">
      <x:c r="A281" s="1" t="str">
        <x:v>expansion</x:v>
      </x:c>
      <x:c r="B281" s="1" t="str">
        <x:v>atlas-meridian</x:v>
      </x:c>
      <x:c r="C281" s="12" t="n">
        <x:v>2030</x:v>
      </x:c>
      <x:c r="D281" s="1" t="str">
        <x:v>synthetic_outturn</x:v>
      </x:c>
      <x:c r="E281" s="1" t="str">
        <x:v>revenue_usd</x:v>
      </x:c>
      <x:c r="F281" s="13" t="n">
        <x:v>6320656.7688</x:v>
      </x:c>
      <x:c r="G281" s="13" t="n">
        <x:v>6315095.4412</x:v>
      </x:c>
      <x:c r="H281" s="13" t="n">
        <x:v>0</x:v>
      </x:c>
      <x:c r="I281" s="13" t="n">
        <x:v>0</x:v>
      </x:c>
      <x:c r="J281" s="13" t="n">
        <x:v>-5561.3276</x:v>
      </x:c>
      <x:c r="K281" s="13" t="n">
        <x:v>0</x:v>
      </x:c>
      <x:c r="L281" s="14" t="n">
        <x:f>G281-F281-SUM(H281:K281)</x:f>
        <x:v>5.047695594839752e-10</x:v>
      </x:c>
    </x:row>
    <x:row r="282" ht="19" customHeight="1">
      <x:c r="A282" s="1" t="str">
        <x:v>expansion</x:v>
      </x:c>
      <x:c r="B282" s="1" t="str">
        <x:v>atlas-meridian</x:v>
      </x:c>
      <x:c r="C282" s="12" t="n">
        <x:v>2031</x:v>
      </x:c>
      <x:c r="D282" s="1" t="str">
        <x:v>revised</x:v>
      </x:c>
      <x:c r="E282" s="1" t="str">
        <x:v>net_income_usd</x:v>
      </x:c>
      <x:c r="F282" s="13" t="n">
        <x:v>-1799409.8017</x:v>
      </x:c>
      <x:c r="G282" s="13" t="n">
        <x:v>-1545957.1678</x:v>
      </x:c>
      <x:c r="H282" s="13" t="n">
        <x:v>51136.4835</x:v>
      </x:c>
      <x:c r="I282" s="13" t="n">
        <x:v>202316.1504</x:v>
      </x:c>
      <x:c r="J282" s="13" t="n">
        <x:v>0</x:v>
      </x:c>
      <x:c r="K282" s="13" t="n">
        <x:v>0</x:v>
      </x:c>
      <x:c r="L282" s="14" t="n">
        <x:f>G282-F282-SUM(H282:K282)</x:f>
        <x:v>0</x:v>
      </x:c>
    </x:row>
    <x:row r="283" ht="19" customHeight="1">
      <x:c r="A283" s="1" t="str">
        <x:v>expansion</x:v>
      </x:c>
      <x:c r="B283" s="1" t="str">
        <x:v>atlas-meridian</x:v>
      </x:c>
      <x:c r="C283" s="12" t="n">
        <x:v>2031</x:v>
      </x:c>
      <x:c r="D283" s="1" t="str">
        <x:v>revised</x:v>
      </x:c>
      <x:c r="E283" s="1" t="str">
        <x:v>revenue_usd</x:v>
      </x:c>
      <x:c r="F283" s="13" t="n">
        <x:v>6207845.5019</x:v>
      </x:c>
      <x:c r="G283" s="13" t="n">
        <x:v>6477387.0392</x:v>
      </x:c>
      <x:c r="H283" s="13" t="n">
        <x:v>51141.5373</x:v>
      </x:c>
      <x:c r="I283" s="13" t="n">
        <x:v>218400</x:v>
      </x:c>
      <x:c r="J283" s="13" t="n">
        <x:v>0</x:v>
      </x:c>
      <x:c r="K283" s="13" t="n">
        <x:v>0</x:v>
      </x:c>
      <x:c r="L283" s="14" t="n">
        <x:f>G283-F283-SUM(H283:K283)</x:f>
        <x:v>8.731149137020111e-10</x:v>
      </x:c>
    </x:row>
    <x:row r="284" ht="19" customHeight="1">
      <x:c r="A284" s="1" t="str">
        <x:v>expansion</x:v>
      </x:c>
      <x:c r="B284" s="1" t="str">
        <x:v>atlas-meridian</x:v>
      </x:c>
      <x:c r="C284" s="12" t="n">
        <x:v>2031</x:v>
      </x:c>
      <x:c r="D284" s="1" t="str">
        <x:v>synthetic_outturn</x:v>
      </x:c>
      <x:c r="E284" s="1" t="str">
        <x:v>net_income_usd</x:v>
      </x:c>
      <x:c r="F284" s="13" t="n">
        <x:v>-1545957.1678</x:v>
      </x:c>
      <x:c r="G284" s="13" t="n">
        <x:v>-1551856.6242</x:v>
      </x:c>
      <x:c r="H284" s="13" t="n">
        <x:v>0</x:v>
      </x:c>
      <x:c r="I284" s="13" t="n">
        <x:v>0</x:v>
      </x:c>
      <x:c r="J284" s="13" t="n">
        <x:v>-5899.4564</x:v>
      </x:c>
      <x:c r="K284" s="13" t="n">
        <x:v>0</x:v>
      </x:c>
      <x:c r="L284" s="14" t="n">
        <x:f>G284-F284-SUM(H284:K284)</x:f>
        <x:v>-2.4556356947869062e-11</x:v>
      </x:c>
    </x:row>
    <x:row r="285" ht="19" customHeight="1">
      <x:c r="A285" s="1" t="str">
        <x:v>expansion</x:v>
      </x:c>
      <x:c r="B285" s="1" t="str">
        <x:v>atlas-meridian</x:v>
      </x:c>
      <x:c r="C285" s="12" t="n">
        <x:v>2031</x:v>
      </x:c>
      <x:c r="D285" s="1" t="str">
        <x:v>synthetic_outturn</x:v>
      </x:c>
      <x:c r="E285" s="1" t="str">
        <x:v>revenue_usd</x:v>
      </x:c>
      <x:c r="F285" s="13" t="n">
        <x:v>6477387.0392</x:v>
      </x:c>
      <x:c r="G285" s="13" t="n">
        <x:v>6471603.2584</x:v>
      </x:c>
      <x:c r="H285" s="13" t="n">
        <x:v>0</x:v>
      </x:c>
      <x:c r="I285" s="13" t="n">
        <x:v>0</x:v>
      </x:c>
      <x:c r="J285" s="13" t="n">
        <x:v>-5783.7808</x:v>
      </x:c>
      <x:c r="K285" s="13" t="n">
        <x:v>0</x:v>
      </x:c>
      <x:c r="L285" s="14" t="n">
        <x:f>G285-F285-SUM(H285:K285)</x:f>
        <x:v>-7.639755494892597e-10</x:v>
      </x:c>
    </x:row>
    <x:row r="286" ht="19" customHeight="1">
      <x:c r="A286" s="1" t="str">
        <x:v>expansion</x:v>
      </x:c>
      <x:c r="B286" s="1" t="str">
        <x:v>corporate</x:v>
      </x:c>
      <x:c r="C286" s="12" t="n">
        <x:v>2027</x:v>
      </x:c>
      <x:c r="D286" s="1" t="str">
        <x:v>revised</x:v>
      </x:c>
      <x:c r="E286" s="1" t="str">
        <x:v>net_income_usd</x:v>
      </x:c>
      <x:c r="F286" s="13" t="n">
        <x:v>-36803563.3861</x:v>
      </x:c>
      <x:c r="G286" s="13" t="n">
        <x:v>-36803563.3861</x:v>
      </x:c>
      <x:c r="H286" s="13" t="n">
        <x:v>0</x:v>
      </x:c>
      <x:c r="I286" s="13" t="n">
        <x:v>0</x:v>
      </x:c>
      <x:c r="J286" s="13" t="n">
        <x:v>0</x:v>
      </x:c>
      <x:c r="K286" s="13" t="n">
        <x:v>0</x:v>
      </x:c>
      <x:c r="L286" s="14" t="n">
        <x:f>G286-F286-SUM(H286:K286)</x:f>
        <x:v>0</x:v>
      </x:c>
    </x:row>
    <x:row r="287" ht="19" customHeight="1">
      <x:c r="A287" s="1" t="str">
        <x:v>expansion</x:v>
      </x:c>
      <x:c r="B287" s="1" t="str">
        <x:v>corporate</x:v>
      </x:c>
      <x:c r="C287" s="12" t="n">
        <x:v>2027</x:v>
      </x:c>
      <x:c r="D287" s="1" t="str">
        <x:v>revised</x:v>
      </x:c>
      <x:c r="E287" s="1" t="str">
        <x:v>revenue_usd</x:v>
      </x:c>
      <x:c r="F287" s="13" t="n">
        <x:v>0</x:v>
      </x:c>
      <x:c r="G287" s="13" t="n">
        <x:v>0</x:v>
      </x:c>
      <x:c r="H287" s="13" t="n">
        <x:v>0</x:v>
      </x:c>
      <x:c r="I287" s="13" t="n">
        <x:v>0</x:v>
      </x:c>
      <x:c r="J287" s="13" t="n">
        <x:v>0</x:v>
      </x:c>
      <x:c r="K287" s="13" t="n">
        <x:v>0</x:v>
      </x:c>
      <x:c r="L287" s="14" t="n">
        <x:f>G287-F287-SUM(H287:K287)</x:f>
        <x:v>0</x:v>
      </x:c>
    </x:row>
    <x:row r="288" ht="19" customHeight="1">
      <x:c r="A288" s="1" t="str">
        <x:v>expansion</x:v>
      </x:c>
      <x:c r="B288" s="1" t="str">
        <x:v>corporate</x:v>
      </x:c>
      <x:c r="C288" s="12" t="n">
        <x:v>2027</x:v>
      </x:c>
      <x:c r="D288" s="1" t="str">
        <x:v>synthetic_outturn</x:v>
      </x:c>
      <x:c r="E288" s="1" t="str">
        <x:v>net_income_usd</x:v>
      </x:c>
      <x:c r="F288" s="13" t="n">
        <x:v>-36803563.3861</x:v>
      </x:c>
      <x:c r="G288" s="13" t="n">
        <x:v>-36803563.3861</x:v>
      </x:c>
      <x:c r="H288" s="13" t="n">
        <x:v>0</x:v>
      </x:c>
      <x:c r="I288" s="13" t="n">
        <x:v>0</x:v>
      </x:c>
      <x:c r="J288" s="13" t="n">
        <x:v>0</x:v>
      </x:c>
      <x:c r="K288" s="13" t="n">
        <x:v>0</x:v>
      </x:c>
      <x:c r="L288" s="14" t="n">
        <x:f>G288-F288-SUM(H288:K288)</x:f>
        <x:v>0</x:v>
      </x:c>
    </x:row>
    <x:row r="289" ht="19" customHeight="1">
      <x:c r="A289" s="1" t="str">
        <x:v>expansion</x:v>
      </x:c>
      <x:c r="B289" s="1" t="str">
        <x:v>corporate</x:v>
      </x:c>
      <x:c r="C289" s="12" t="n">
        <x:v>2027</x:v>
      </x:c>
      <x:c r="D289" s="1" t="str">
        <x:v>synthetic_outturn</x:v>
      </x:c>
      <x:c r="E289" s="1" t="str">
        <x:v>revenue_usd</x:v>
      </x:c>
      <x:c r="F289" s="13" t="n">
        <x:v>0</x:v>
      </x:c>
      <x:c r="G289" s="13" t="n">
        <x:v>0</x:v>
      </x:c>
      <x:c r="H289" s="13" t="n">
        <x:v>0</x:v>
      </x:c>
      <x:c r="I289" s="13" t="n">
        <x:v>0</x:v>
      </x:c>
      <x:c r="J289" s="13" t="n">
        <x:v>0</x:v>
      </x:c>
      <x:c r="K289" s="13" t="n">
        <x:v>0</x:v>
      </x:c>
      <x:c r="L289" s="14" t="n">
        <x:f>G289-F289-SUM(H289:K289)</x:f>
        <x:v>0</x:v>
      </x:c>
    </x:row>
    <x:row r="290" ht="19" customHeight="1">
      <x:c r="A290" s="1" t="str">
        <x:v>expansion</x:v>
      </x:c>
      <x:c r="B290" s="1" t="str">
        <x:v>corporate</x:v>
      </x:c>
      <x:c r="C290" s="12" t="n">
        <x:v>2028</x:v>
      </x:c>
      <x:c r="D290" s="1" t="str">
        <x:v>revised</x:v>
      </x:c>
      <x:c r="E290" s="1" t="str">
        <x:v>net_income_usd</x:v>
      </x:c>
      <x:c r="F290" s="13" t="n">
        <x:v>-38141012.0524</x:v>
      </x:c>
      <x:c r="G290" s="13" t="n">
        <x:v>-38141012.0524</x:v>
      </x:c>
      <x:c r="H290" s="13" t="n">
        <x:v>0</x:v>
      </x:c>
      <x:c r="I290" s="13" t="n">
        <x:v>0</x:v>
      </x:c>
      <x:c r="J290" s="13" t="n">
        <x:v>0</x:v>
      </x:c>
      <x:c r="K290" s="13" t="n">
        <x:v>0</x:v>
      </x:c>
      <x:c r="L290" s="14" t="n">
        <x:f>G290-F290-SUM(H290:K290)</x:f>
        <x:v>0</x:v>
      </x:c>
    </x:row>
    <x:row r="291" ht="19" customHeight="1">
      <x:c r="A291" s="1" t="str">
        <x:v>expansion</x:v>
      </x:c>
      <x:c r="B291" s="1" t="str">
        <x:v>corporate</x:v>
      </x:c>
      <x:c r="C291" s="12" t="n">
        <x:v>2028</x:v>
      </x:c>
      <x:c r="D291" s="1" t="str">
        <x:v>revised</x:v>
      </x:c>
      <x:c r="E291" s="1" t="str">
        <x:v>revenue_usd</x:v>
      </x:c>
      <x:c r="F291" s="13" t="n">
        <x:v>0</x:v>
      </x:c>
      <x:c r="G291" s="13" t="n">
        <x:v>0</x:v>
      </x:c>
      <x:c r="H291" s="13" t="n">
        <x:v>0</x:v>
      </x:c>
      <x:c r="I291" s="13" t="n">
        <x:v>0</x:v>
      </x:c>
      <x:c r="J291" s="13" t="n">
        <x:v>0</x:v>
      </x:c>
      <x:c r="K291" s="13" t="n">
        <x:v>0</x:v>
      </x:c>
      <x:c r="L291" s="14" t="n">
        <x:f>G291-F291-SUM(H291:K291)</x:f>
        <x:v>0</x:v>
      </x:c>
    </x:row>
    <x:row r="292" ht="19" customHeight="1">
      <x:c r="A292" s="1" t="str">
        <x:v>expansion</x:v>
      </x:c>
      <x:c r="B292" s="1" t="str">
        <x:v>corporate</x:v>
      </x:c>
      <x:c r="C292" s="12" t="n">
        <x:v>2028</x:v>
      </x:c>
      <x:c r="D292" s="1" t="str">
        <x:v>synthetic_outturn</x:v>
      </x:c>
      <x:c r="E292" s="1" t="str">
        <x:v>net_income_usd</x:v>
      </x:c>
      <x:c r="F292" s="13" t="n">
        <x:v>-38141012.0524</x:v>
      </x:c>
      <x:c r="G292" s="13" t="n">
        <x:v>-38141012.0524</x:v>
      </x:c>
      <x:c r="H292" s="13" t="n">
        <x:v>0</x:v>
      </x:c>
      <x:c r="I292" s="13" t="n">
        <x:v>0</x:v>
      </x:c>
      <x:c r="J292" s="13" t="n">
        <x:v>0</x:v>
      </x:c>
      <x:c r="K292" s="13" t="n">
        <x:v>0</x:v>
      </x:c>
      <x:c r="L292" s="14" t="n">
        <x:f>G292-F292-SUM(H292:K292)</x:f>
        <x:v>0</x:v>
      </x:c>
    </x:row>
    <x:row r="293" ht="19" customHeight="1">
      <x:c r="A293" s="1" t="str">
        <x:v>expansion</x:v>
      </x:c>
      <x:c r="B293" s="1" t="str">
        <x:v>corporate</x:v>
      </x:c>
      <x:c r="C293" s="12" t="n">
        <x:v>2028</x:v>
      </x:c>
      <x:c r="D293" s="1" t="str">
        <x:v>synthetic_outturn</x:v>
      </x:c>
      <x:c r="E293" s="1" t="str">
        <x:v>revenue_usd</x:v>
      </x:c>
      <x:c r="F293" s="13" t="n">
        <x:v>0</x:v>
      </x:c>
      <x:c r="G293" s="13" t="n">
        <x:v>0</x:v>
      </x:c>
      <x:c r="H293" s="13" t="n">
        <x:v>0</x:v>
      </x:c>
      <x:c r="I293" s="13" t="n">
        <x:v>0</x:v>
      </x:c>
      <x:c r="J293" s="13" t="n">
        <x:v>0</x:v>
      </x:c>
      <x:c r="K293" s="13" t="n">
        <x:v>0</x:v>
      </x:c>
      <x:c r="L293" s="14" t="n">
        <x:f>G293-F293-SUM(H293:K293)</x:f>
        <x:v>0</x:v>
      </x:c>
    </x:row>
    <x:row r="294" ht="19" customHeight="1">
      <x:c r="A294" s="1" t="str">
        <x:v>expansion</x:v>
      </x:c>
      <x:c r="B294" s="1" t="str">
        <x:v>corporate</x:v>
      </x:c>
      <x:c r="C294" s="12" t="n">
        <x:v>2029</x:v>
      </x:c>
      <x:c r="D294" s="1" t="str">
        <x:v>revised</x:v>
      </x:c>
      <x:c r="E294" s="1" t="str">
        <x:v>net_income_usd</x:v>
      </x:c>
      <x:c r="F294" s="13" t="n">
        <x:v>-39270378.2124</x:v>
      </x:c>
      <x:c r="G294" s="13" t="n">
        <x:v>-39270378.2124</x:v>
      </x:c>
      <x:c r="H294" s="13" t="n">
        <x:v>0</x:v>
      </x:c>
      <x:c r="I294" s="13" t="n">
        <x:v>0</x:v>
      </x:c>
      <x:c r="J294" s="13" t="n">
        <x:v>0</x:v>
      </x:c>
      <x:c r="K294" s="13" t="n">
        <x:v>0</x:v>
      </x:c>
      <x:c r="L294" s="14" t="n">
        <x:f>G294-F294-SUM(H294:K294)</x:f>
        <x:v>0</x:v>
      </x:c>
    </x:row>
    <x:row r="295" ht="19" customHeight="1">
      <x:c r="A295" s="1" t="str">
        <x:v>expansion</x:v>
      </x:c>
      <x:c r="B295" s="1" t="str">
        <x:v>corporate</x:v>
      </x:c>
      <x:c r="C295" s="12" t="n">
        <x:v>2029</x:v>
      </x:c>
      <x:c r="D295" s="1" t="str">
        <x:v>revised</x:v>
      </x:c>
      <x:c r="E295" s="1" t="str">
        <x:v>revenue_usd</x:v>
      </x:c>
      <x:c r="F295" s="13" t="n">
        <x:v>0</x:v>
      </x:c>
      <x:c r="G295" s="13" t="n">
        <x:v>0</x:v>
      </x:c>
      <x:c r="H295" s="13" t="n">
        <x:v>0</x:v>
      </x:c>
      <x:c r="I295" s="13" t="n">
        <x:v>0</x:v>
      </x:c>
      <x:c r="J295" s="13" t="n">
        <x:v>0</x:v>
      </x:c>
      <x:c r="K295" s="13" t="n">
        <x:v>0</x:v>
      </x:c>
      <x:c r="L295" s="14" t="n">
        <x:f>G295-F295-SUM(H295:K295)</x:f>
        <x:v>0</x:v>
      </x:c>
    </x:row>
    <x:row r="296" ht="19" customHeight="1">
      <x:c r="A296" s="1" t="str">
        <x:v>expansion</x:v>
      </x:c>
      <x:c r="B296" s="1" t="str">
        <x:v>corporate</x:v>
      </x:c>
      <x:c r="C296" s="12" t="n">
        <x:v>2029</x:v>
      </x:c>
      <x:c r="D296" s="1" t="str">
        <x:v>synthetic_outturn</x:v>
      </x:c>
      <x:c r="E296" s="1" t="str">
        <x:v>net_income_usd</x:v>
      </x:c>
      <x:c r="F296" s="13" t="n">
        <x:v>-39270378.2124</x:v>
      </x:c>
      <x:c r="G296" s="13" t="n">
        <x:v>-39270378.2124</x:v>
      </x:c>
      <x:c r="H296" s="13" t="n">
        <x:v>0</x:v>
      </x:c>
      <x:c r="I296" s="13" t="n">
        <x:v>0</x:v>
      </x:c>
      <x:c r="J296" s="13" t="n">
        <x:v>0</x:v>
      </x:c>
      <x:c r="K296" s="13" t="n">
        <x:v>0</x:v>
      </x:c>
      <x:c r="L296" s="14" t="n">
        <x:f>G296-F296-SUM(H296:K296)</x:f>
        <x:v>0</x:v>
      </x:c>
    </x:row>
    <x:row r="297" ht="19" customHeight="1">
      <x:c r="A297" s="1" t="str">
        <x:v>expansion</x:v>
      </x:c>
      <x:c r="B297" s="1" t="str">
        <x:v>corporate</x:v>
      </x:c>
      <x:c r="C297" s="12" t="n">
        <x:v>2029</x:v>
      </x:c>
      <x:c r="D297" s="1" t="str">
        <x:v>synthetic_outturn</x:v>
      </x:c>
      <x:c r="E297" s="1" t="str">
        <x:v>revenue_usd</x:v>
      </x:c>
      <x:c r="F297" s="13" t="n">
        <x:v>0</x:v>
      </x:c>
      <x:c r="G297" s="13" t="n">
        <x:v>0</x:v>
      </x:c>
      <x:c r="H297" s="13" t="n">
        <x:v>0</x:v>
      </x:c>
      <x:c r="I297" s="13" t="n">
        <x:v>0</x:v>
      </x:c>
      <x:c r="J297" s="13" t="n">
        <x:v>0</x:v>
      </x:c>
      <x:c r="K297" s="13" t="n">
        <x:v>0</x:v>
      </x:c>
      <x:c r="L297" s="14" t="n">
        <x:f>G297-F297-SUM(H297:K297)</x:f>
        <x:v>0</x:v>
      </x:c>
    </x:row>
    <x:row r="298" ht="19" customHeight="1">
      <x:c r="A298" s="1" t="str">
        <x:v>expansion</x:v>
      </x:c>
      <x:c r="B298" s="1" t="str">
        <x:v>corporate</x:v>
      </x:c>
      <x:c r="C298" s="12" t="n">
        <x:v>2030</x:v>
      </x:c>
      <x:c r="D298" s="1" t="str">
        <x:v>revised</x:v>
      </x:c>
      <x:c r="E298" s="1" t="str">
        <x:v>net_income_usd</x:v>
      </x:c>
      <x:c r="F298" s="13" t="n">
        <x:v>-40406041.9572</x:v>
      </x:c>
      <x:c r="G298" s="13" t="n">
        <x:v>-40406041.9572</x:v>
      </x:c>
      <x:c r="H298" s="13" t="n">
        <x:v>0</x:v>
      </x:c>
      <x:c r="I298" s="13" t="n">
        <x:v>0</x:v>
      </x:c>
      <x:c r="J298" s="13" t="n">
        <x:v>0</x:v>
      </x:c>
      <x:c r="K298" s="13" t="n">
        <x:v>0</x:v>
      </x:c>
      <x:c r="L298" s="14" t="n">
        <x:f>G298-F298-SUM(H298:K298)</x:f>
        <x:v>0</x:v>
      </x:c>
    </x:row>
    <x:row r="299" ht="19" customHeight="1">
      <x:c r="A299" s="1" t="str">
        <x:v>expansion</x:v>
      </x:c>
      <x:c r="B299" s="1" t="str">
        <x:v>corporate</x:v>
      </x:c>
      <x:c r="C299" s="12" t="n">
        <x:v>2030</x:v>
      </x:c>
      <x:c r="D299" s="1" t="str">
        <x:v>revised</x:v>
      </x:c>
      <x:c r="E299" s="1" t="str">
        <x:v>revenue_usd</x:v>
      </x:c>
      <x:c r="F299" s="13" t="n">
        <x:v>0</x:v>
      </x:c>
      <x:c r="G299" s="13" t="n">
        <x:v>0</x:v>
      </x:c>
      <x:c r="H299" s="13" t="n">
        <x:v>0</x:v>
      </x:c>
      <x:c r="I299" s="13" t="n">
        <x:v>0</x:v>
      </x:c>
      <x:c r="J299" s="13" t="n">
        <x:v>0</x:v>
      </x:c>
      <x:c r="K299" s="13" t="n">
        <x:v>0</x:v>
      </x:c>
      <x:c r="L299" s="14" t="n">
        <x:f>G299-F299-SUM(H299:K299)</x:f>
        <x:v>0</x:v>
      </x:c>
    </x:row>
    <x:row r="300" ht="19" customHeight="1">
      <x:c r="A300" s="1" t="str">
        <x:v>expansion</x:v>
      </x:c>
      <x:c r="B300" s="1" t="str">
        <x:v>corporate</x:v>
      </x:c>
      <x:c r="C300" s="12" t="n">
        <x:v>2030</x:v>
      </x:c>
      <x:c r="D300" s="1" t="str">
        <x:v>synthetic_outturn</x:v>
      </x:c>
      <x:c r="E300" s="1" t="str">
        <x:v>net_income_usd</x:v>
      </x:c>
      <x:c r="F300" s="13" t="n">
        <x:v>-40406041.9572</x:v>
      </x:c>
      <x:c r="G300" s="13" t="n">
        <x:v>-40406041.9572</x:v>
      </x:c>
      <x:c r="H300" s="13" t="n">
        <x:v>0</x:v>
      </x:c>
      <x:c r="I300" s="13" t="n">
        <x:v>0</x:v>
      </x:c>
      <x:c r="J300" s="13" t="n">
        <x:v>0</x:v>
      </x:c>
      <x:c r="K300" s="13" t="n">
        <x:v>0</x:v>
      </x:c>
      <x:c r="L300" s="14" t="n">
        <x:f>G300-F300-SUM(H300:K300)</x:f>
        <x:v>0</x:v>
      </x:c>
    </x:row>
    <x:row r="301" ht="19" customHeight="1">
      <x:c r="A301" s="1" t="str">
        <x:v>expansion</x:v>
      </x:c>
      <x:c r="B301" s="1" t="str">
        <x:v>corporate</x:v>
      </x:c>
      <x:c r="C301" s="12" t="n">
        <x:v>2030</x:v>
      </x:c>
      <x:c r="D301" s="1" t="str">
        <x:v>synthetic_outturn</x:v>
      </x:c>
      <x:c r="E301" s="1" t="str">
        <x:v>revenue_usd</x:v>
      </x:c>
      <x:c r="F301" s="13" t="n">
        <x:v>0</x:v>
      </x:c>
      <x:c r="G301" s="13" t="n">
        <x:v>0</x:v>
      </x:c>
      <x:c r="H301" s="13" t="n">
        <x:v>0</x:v>
      </x:c>
      <x:c r="I301" s="13" t="n">
        <x:v>0</x:v>
      </x:c>
      <x:c r="J301" s="13" t="n">
        <x:v>0</x:v>
      </x:c>
      <x:c r="K301" s="13" t="n">
        <x:v>0</x:v>
      </x:c>
      <x:c r="L301" s="14" t="n">
        <x:f>G301-F301-SUM(H301:K301)</x:f>
        <x:v>0</x:v>
      </x:c>
    </x:row>
    <x:row r="302" ht="19" customHeight="1">
      <x:c r="A302" s="1" t="str">
        <x:v>expansion</x:v>
      </x:c>
      <x:c r="B302" s="1" t="str">
        <x:v>corporate</x:v>
      </x:c>
      <x:c r="C302" s="12" t="n">
        <x:v>2031</x:v>
      </x:c>
      <x:c r="D302" s="1" t="str">
        <x:v>revised</x:v>
      </x:c>
      <x:c r="E302" s="1" t="str">
        <x:v>net_income_usd</x:v>
      </x:c>
      <x:c r="F302" s="13" t="n">
        <x:v>-41575775.4828</x:v>
      </x:c>
      <x:c r="G302" s="13" t="n">
        <x:v>-41575775.4828</x:v>
      </x:c>
      <x:c r="H302" s="13" t="n">
        <x:v>0</x:v>
      </x:c>
      <x:c r="I302" s="13" t="n">
        <x:v>0</x:v>
      </x:c>
      <x:c r="J302" s="13" t="n">
        <x:v>0</x:v>
      </x:c>
      <x:c r="K302" s="13" t="n">
        <x:v>0</x:v>
      </x:c>
      <x:c r="L302" s="14" t="n">
        <x:f>G302-F302-SUM(H302:K302)</x:f>
        <x:v>0</x:v>
      </x:c>
    </x:row>
    <x:row r="303" ht="19" customHeight="1">
      <x:c r="A303" s="1" t="str">
        <x:v>expansion</x:v>
      </x:c>
      <x:c r="B303" s="1" t="str">
        <x:v>corporate</x:v>
      </x:c>
      <x:c r="C303" s="12" t="n">
        <x:v>2031</x:v>
      </x:c>
      <x:c r="D303" s="1" t="str">
        <x:v>revised</x:v>
      </x:c>
      <x:c r="E303" s="1" t="str">
        <x:v>revenue_usd</x:v>
      </x:c>
      <x:c r="F303" s="13" t="n">
        <x:v>0</x:v>
      </x:c>
      <x:c r="G303" s="13" t="n">
        <x:v>0</x:v>
      </x:c>
      <x:c r="H303" s="13" t="n">
        <x:v>0</x:v>
      </x:c>
      <x:c r="I303" s="13" t="n">
        <x:v>0</x:v>
      </x:c>
      <x:c r="J303" s="13" t="n">
        <x:v>0</x:v>
      </x:c>
      <x:c r="K303" s="13" t="n">
        <x:v>0</x:v>
      </x:c>
      <x:c r="L303" s="14" t="n">
        <x:f>G303-F303-SUM(H303:K303)</x:f>
        <x:v>0</x:v>
      </x:c>
    </x:row>
    <x:row r="304" ht="19" customHeight="1">
      <x:c r="A304" s="1" t="str">
        <x:v>expansion</x:v>
      </x:c>
      <x:c r="B304" s="1" t="str">
        <x:v>corporate</x:v>
      </x:c>
      <x:c r="C304" s="12" t="n">
        <x:v>2031</x:v>
      </x:c>
      <x:c r="D304" s="1" t="str">
        <x:v>synthetic_outturn</x:v>
      </x:c>
      <x:c r="E304" s="1" t="str">
        <x:v>net_income_usd</x:v>
      </x:c>
      <x:c r="F304" s="13" t="n">
        <x:v>-41575775.4828</x:v>
      </x:c>
      <x:c r="G304" s="13" t="n">
        <x:v>-41575775.4828</x:v>
      </x:c>
      <x:c r="H304" s="13" t="n">
        <x:v>0</x:v>
      </x:c>
      <x:c r="I304" s="13" t="n">
        <x:v>0</x:v>
      </x:c>
      <x:c r="J304" s="13" t="n">
        <x:v>0</x:v>
      </x:c>
      <x:c r="K304" s="13" t="n">
        <x:v>0</x:v>
      </x:c>
      <x:c r="L304" s="14" t="n">
        <x:f>G304-F304-SUM(H304:K304)</x:f>
        <x:v>0</x:v>
      </x:c>
    </x:row>
    <x:row r="305" ht="19" customHeight="1">
      <x:c r="A305" s="1" t="str">
        <x:v>expansion</x:v>
      </x:c>
      <x:c r="B305" s="1" t="str">
        <x:v>corporate</x:v>
      </x:c>
      <x:c r="C305" s="12" t="n">
        <x:v>2031</x:v>
      </x:c>
      <x:c r="D305" s="1" t="str">
        <x:v>synthetic_outturn</x:v>
      </x:c>
      <x:c r="E305" s="1" t="str">
        <x:v>revenue_usd</x:v>
      </x:c>
      <x:c r="F305" s="13" t="n">
        <x:v>0</x:v>
      </x:c>
      <x:c r="G305" s="13" t="n">
        <x:v>0</x:v>
      </x:c>
      <x:c r="H305" s="13" t="n">
        <x:v>0</x:v>
      </x:c>
      <x:c r="I305" s="13" t="n">
        <x:v>0</x:v>
      </x:c>
      <x:c r="J305" s="13" t="n">
        <x:v>0</x:v>
      </x:c>
      <x:c r="K305" s="13" t="n">
        <x:v>0</x:v>
      </x:c>
      <x:c r="L305" s="14" t="n">
        <x:f>G305-F305-SUM(H305:K305)</x:f>
        <x:v>0</x:v>
      </x:c>
    </x:row>
    <x:row r="306" ht="19" customHeight="1">
      <x:c r="A306" s="1" t="str">
        <x:v>expansion</x:v>
      </x:c>
      <x:c r="B306" s="1" t="str">
        <x:v>foundry-field</x:v>
      </x:c>
      <x:c r="C306" s="12" t="n">
        <x:v>2027</x:v>
      </x:c>
      <x:c r="D306" s="1" t="str">
        <x:v>revised</x:v>
      </x:c>
      <x:c r="E306" s="1" t="str">
        <x:v>net_income_usd</x:v>
      </x:c>
      <x:c r="F306" s="13" t="n">
        <x:v>34587470.6025</x:v>
      </x:c>
      <x:c r="G306" s="13" t="n">
        <x:v>34692346.2825</x:v>
      </x:c>
      <x:c r="H306" s="13" t="n">
        <x:v>104875.68</x:v>
      </x:c>
      <x:c r="I306" s="13" t="n">
        <x:v>0</x:v>
      </x:c>
      <x:c r="J306" s="13" t="n">
        <x:v>0</x:v>
      </x:c>
      <x:c r="K306" s="13" t="n">
        <x:v>0</x:v>
      </x:c>
      <x:c r="L306" s="14" t="n">
        <x:f>G306-F306-SUM(H306:K306)</x:f>
        <x:v>-2.9103830456733704e-10</x:v>
      </x:c>
    </x:row>
    <x:row r="307" ht="19" customHeight="1">
      <x:c r="A307" s="1" t="str">
        <x:v>expansion</x:v>
      </x:c>
      <x:c r="B307" s="1" t="str">
        <x:v>foundry-field</x:v>
      </x:c>
      <x:c r="C307" s="12" t="n">
        <x:v>2027</x:v>
      </x:c>
      <x:c r="D307" s="1" t="str">
        <x:v>revised</x:v>
      </x:c>
      <x:c r="E307" s="1" t="str">
        <x:v>revenue_usd</x:v>
      </x:c>
      <x:c r="F307" s="13" t="n">
        <x:v>61098440</x:v>
      </x:c>
      <x:c r="G307" s="13" t="n">
        <x:v>61204364</x:v>
      </x:c>
      <x:c r="H307" s="13" t="n">
        <x:v>105924</x:v>
      </x:c>
      <x:c r="I307" s="13" t="n">
        <x:v>0</x:v>
      </x:c>
      <x:c r="J307" s="13" t="n">
        <x:v>0</x:v>
      </x:c>
      <x:c r="K307" s="13" t="n">
        <x:v>0</x:v>
      </x:c>
      <x:c r="L307" s="14" t="n">
        <x:f>G307-F307-SUM(H307:K307)</x:f>
        <x:v>0</x:v>
      </x:c>
    </x:row>
    <x:row r="308" ht="19" customHeight="1">
      <x:c r="A308" s="1" t="str">
        <x:v>expansion</x:v>
      </x:c>
      <x:c r="B308" s="1" t="str">
        <x:v>foundry-field</x:v>
      </x:c>
      <x:c r="C308" s="12" t="n">
        <x:v>2027</x:v>
      </x:c>
      <x:c r="D308" s="1" t="str">
        <x:v>synthetic_outturn</x:v>
      </x:c>
      <x:c r="E308" s="1" t="str">
        <x:v>net_income_usd</x:v>
      </x:c>
      <x:c r="F308" s="13" t="n">
        <x:v>34692346.2825</x:v>
      </x:c>
      <x:c r="G308" s="13" t="n">
        <x:v>33822897.269</x:v>
      </x:c>
      <x:c r="H308" s="13" t="n">
        <x:v>0</x:v>
      </x:c>
      <x:c r="I308" s="13" t="n">
        <x:v>0</x:v>
      </x:c>
      <x:c r="J308" s="13" t="n">
        <x:v>-806615.68</x:v>
      </x:c>
      <x:c r="K308" s="13" t="n">
        <x:v>-62833.3335</x:v>
      </x:c>
      <x:c r="L308" s="14" t="n">
        <x:f>G308-F308-SUM(H308:K308)</x:f>
        <x:v>2.444721758365631e-9</x:v>
      </x:c>
    </x:row>
    <x:row r="309" ht="19" customHeight="1">
      <x:c r="A309" s="1" t="str">
        <x:v>expansion</x:v>
      </x:c>
      <x:c r="B309" s="1" t="str">
        <x:v>foundry-field</x:v>
      </x:c>
      <x:c r="C309" s="12" t="n">
        <x:v>2027</x:v>
      </x:c>
      <x:c r="D309" s="1" t="str">
        <x:v>synthetic_outturn</x:v>
      </x:c>
      <x:c r="E309" s="1" t="str">
        <x:v>revenue_usd</x:v>
      </x:c>
      <x:c r="F309" s="13" t="n">
        <x:v>61204364</x:v>
      </x:c>
      <x:c r="G309" s="13" t="n">
        <x:v>60379540</x:v>
      </x:c>
      <x:c r="H309" s="13" t="n">
        <x:v>0</x:v>
      </x:c>
      <x:c r="I309" s="13" t="n">
        <x:v>0</x:v>
      </x:c>
      <x:c r="J309" s="13" t="n">
        <x:v>-824824</x:v>
      </x:c>
      <x:c r="K309" s="13" t="n">
        <x:v>0</x:v>
      </x:c>
      <x:c r="L309" s="14" t="n">
        <x:f>G309-F309-SUM(H309:K309)</x:f>
        <x:v>0</x:v>
      </x:c>
    </x:row>
    <x:row r="310" ht="19" customHeight="1">
      <x:c r="A310" s="1" t="str">
        <x:v>expansion</x:v>
      </x:c>
      <x:c r="B310" s="1" t="str">
        <x:v>foundry-field</x:v>
      </x:c>
      <x:c r="C310" s="12" t="n">
        <x:v>2028</x:v>
      </x:c>
      <x:c r="D310" s="1" t="str">
        <x:v>revised</x:v>
      </x:c>
      <x:c r="E310" s="1" t="str">
        <x:v>net_income_usd</x:v>
      </x:c>
      <x:c r="F310" s="13" t="n">
        <x:v>39273314.0156</x:v>
      </x:c>
      <x:c r="G310" s="13" t="n">
        <x:v>39678007.718</x:v>
      </x:c>
      <x:c r="H310" s="13" t="n">
        <x:v>404693.7024</x:v>
      </x:c>
      <x:c r="I310" s="13" t="n">
        <x:v>0</x:v>
      </x:c>
      <x:c r="J310" s="13" t="n">
        <x:v>0</x:v>
      </x:c>
      <x:c r="K310" s="13" t="n">
        <x:v>0</x:v>
      </x:c>
      <x:c r="L310" s="14" t="n">
        <x:f>G310-F310-SUM(H310:K310)</x:f>
        <x:v>-1.1059455573558807e-9</x:v>
      </x:c>
    </x:row>
    <x:row r="311" ht="19" customHeight="1">
      <x:c r="A311" s="1" t="str">
        <x:v>expansion</x:v>
      </x:c>
      <x:c r="B311" s="1" t="str">
        <x:v>foundry-field</x:v>
      </x:c>
      <x:c r="C311" s="12" t="n">
        <x:v>2028</x:v>
      </x:c>
      <x:c r="D311" s="1" t="str">
        <x:v>revised</x:v>
      </x:c>
      <x:c r="E311" s="1" t="str">
        <x:v>revenue_usd</x:v>
      </x:c>
      <x:c r="F311" s="13" t="n">
        <x:v>65688896</x:v>
      </x:c>
      <x:c r="G311" s="13" t="n">
        <x:v>66094714.4</x:v>
      </x:c>
      <x:c r="H311" s="13" t="n">
        <x:v>405818.4</x:v>
      </x:c>
      <x:c r="I311" s="13" t="n">
        <x:v>0</x:v>
      </x:c>
      <x:c r="J311" s="13" t="n">
        <x:v>0</x:v>
      </x:c>
      <x:c r="K311" s="13" t="n">
        <x:v>0</x:v>
      </x:c>
      <x:c r="L311" s="14" t="n">
        <x:f>G311-F311-SUM(H311:K311)</x:f>
        <x:v>-1.5133991837501526e-9</x:v>
      </x:c>
    </x:row>
    <x:row r="312" ht="19" customHeight="1">
      <x:c r="A312" s="1" t="str">
        <x:v>expansion</x:v>
      </x:c>
      <x:c r="B312" s="1" t="str">
        <x:v>foundry-field</x:v>
      </x:c>
      <x:c r="C312" s="12" t="n">
        <x:v>2028</x:v>
      </x:c>
      <x:c r="D312" s="1" t="str">
        <x:v>synthetic_outturn</x:v>
      </x:c>
      <x:c r="E312" s="1" t="str">
        <x:v>net_income_usd</x:v>
      </x:c>
      <x:c r="F312" s="13" t="n">
        <x:v>39678007.718</x:v>
      </x:c>
      <x:c r="G312" s="13" t="n">
        <x:v>38663712.6904</x:v>
      </x:c>
      <x:c r="H312" s="13" t="n">
        <x:v>0</x:v>
      </x:c>
      <x:c r="I312" s="13" t="n">
        <x:v>0</x:v>
      </x:c>
      <x:c r="J312" s="13" t="n">
        <x:v>-858971.0272</x:v>
      </x:c>
      <x:c r="K312" s="13" t="n">
        <x:v>-155324.0004</x:v>
      </x:c>
      <x:c r="L312" s="14" t="n">
        <x:f>G312-F312-SUM(H312:K312)</x:f>
        <x:v>-5.238689482212067e-9</x:v>
      </x:c>
    </x:row>
    <x:row r="313" ht="19" customHeight="1">
      <x:c r="A313" s="1" t="str">
        <x:v>expansion</x:v>
      </x:c>
      <x:c r="B313" s="1" t="str">
        <x:v>foundry-field</x:v>
      </x:c>
      <x:c r="C313" s="12" t="n">
        <x:v>2028</x:v>
      </x:c>
      <x:c r="D313" s="1" t="str">
        <x:v>synthetic_outturn</x:v>
      </x:c>
      <x:c r="E313" s="1" t="str">
        <x:v>revenue_usd</x:v>
      </x:c>
      <x:c r="F313" s="13" t="n">
        <x:v>66094714.4</x:v>
      </x:c>
      <x:c r="G313" s="13" t="n">
        <x:v>65214884.8</x:v>
      </x:c>
      <x:c r="H313" s="13" t="n">
        <x:v>0</x:v>
      </x:c>
      <x:c r="I313" s="13" t="n">
        <x:v>0</x:v>
      </x:c>
      <x:c r="J313" s="13" t="n">
        <x:v>-879829.6</x:v>
      </x:c>
      <x:c r="K313" s="13" t="n">
        <x:v>0</x:v>
      </x:c>
      <x:c r="L313" s="14" t="n">
        <x:f>G313-F313-SUM(H313:K313)</x:f>
        <x:v>-1.5133991837501526e-9</x:v>
      </x:c>
    </x:row>
    <x:row r="314" ht="19" customHeight="1">
      <x:c r="A314" s="1" t="str">
        <x:v>expansion</x:v>
      </x:c>
      <x:c r="B314" s="1" t="str">
        <x:v>foundry-field</x:v>
      </x:c>
      <x:c r="C314" s="12" t="n">
        <x:v>2029</x:v>
      </x:c>
      <x:c r="D314" s="1" t="str">
        <x:v>revised</x:v>
      </x:c>
      <x:c r="E314" s="1" t="str">
        <x:v>net_income_usd</x:v>
      </x:c>
      <x:c r="F314" s="13" t="n">
        <x:v>50663740.9388</x:v>
      </x:c>
      <x:c r="G314" s="13" t="n">
        <x:v>51379387.5093</x:v>
      </x:c>
      <x:c r="H314" s="13" t="n">
        <x:v>715646.5705</x:v>
      </x:c>
      <x:c r="I314" s="13" t="n">
        <x:v>0</x:v>
      </x:c>
      <x:c r="J314" s="13" t="n">
        <x:v>0</x:v>
      </x:c>
      <x:c r="K314" s="13" t="n">
        <x:v>0</x:v>
      </x:c>
      <x:c r="L314" s="14" t="n">
        <x:f>G314-F314-SUM(H314:K314)</x:f>
        <x:v>1.280568540096283e-9</x:v>
      </x:c>
    </x:row>
    <x:row r="315" ht="19" customHeight="1">
      <x:c r="A315" s="1" t="str">
        <x:v>expansion</x:v>
      </x:c>
      <x:c r="B315" s="1" t="str">
        <x:v>foundry-field</x:v>
      </x:c>
      <x:c r="C315" s="12" t="n">
        <x:v>2029</x:v>
      </x:c>
      <x:c r="D315" s="1" t="str">
        <x:v>revised</x:v>
      </x:c>
      <x:c r="E315" s="1" t="str">
        <x:v>revenue_usd</x:v>
      </x:c>
      <x:c r="F315" s="13" t="n">
        <x:v>78033213.44</x:v>
      </x:c>
      <x:c r="G315" s="13" t="n">
        <x:v>78750142.016</x:v>
      </x:c>
      <x:c r="H315" s="13" t="n">
        <x:v>716928.576</x:v>
      </x:c>
      <x:c r="I315" s="13" t="n">
        <x:v>0</x:v>
      </x:c>
      <x:c r="J315" s="13" t="n">
        <x:v>0</x:v>
      </x:c>
      <x:c r="K315" s="13" t="n">
        <x:v>0</x:v>
      </x:c>
      <x:c r="L315" s="14" t="n">
        <x:f>G315-F315-SUM(H315:K315)</x:f>
        <x:v>5.005858838558197e-9</x:v>
      </x:c>
    </x:row>
    <x:row r="316" ht="19" customHeight="1">
      <x:c r="A316" s="1" t="str">
        <x:v>expansion</x:v>
      </x:c>
      <x:c r="B316" s="1" t="str">
        <x:v>foundry-field</x:v>
      </x:c>
      <x:c r="C316" s="12" t="n">
        <x:v>2029</x:v>
      </x:c>
      <x:c r="D316" s="1" t="str">
        <x:v>synthetic_outturn</x:v>
      </x:c>
      <x:c r="E316" s="1" t="str">
        <x:v>net_income_usd</x:v>
      </x:c>
      <x:c r="F316" s="13" t="n">
        <x:v>51379387.5093</x:v>
      </x:c>
      <x:c r="G316" s="13" t="n">
        <x:v>50309332.0006</x:v>
      </x:c>
      <x:c r="H316" s="13" t="n">
        <x:v>0</x:v>
      </x:c>
      <x:c r="I316" s="13" t="n">
        <x:v>0</x:v>
      </x:c>
      <x:c r="J316" s="13" t="n">
        <x:v>-910071.7883</x:v>
      </x:c>
      <x:c r="K316" s="13" t="n">
        <x:v>-159983.7204</x:v>
      </x:c>
      <x:c r="L316" s="14" t="n">
        <x:f>G316-F316-SUM(H316:K316)</x:f>
        <x:v>1.862645149230957e-9</x:v>
      </x:c>
    </x:row>
    <x:row r="317" ht="19" customHeight="1">
      <x:c r="A317" s="1" t="str">
        <x:v>expansion</x:v>
      </x:c>
      <x:c r="B317" s="1" t="str">
        <x:v>foundry-field</x:v>
      </x:c>
      <x:c r="C317" s="12" t="n">
        <x:v>2029</x:v>
      </x:c>
      <x:c r="D317" s="1" t="str">
        <x:v>synthetic_outturn</x:v>
      </x:c>
      <x:c r="E317" s="1" t="str">
        <x:v>revenue_usd</x:v>
      </x:c>
      <x:c r="F317" s="13" t="n">
        <x:v>78750142.016</x:v>
      </x:c>
      <x:c r="G317" s="13" t="n">
        <x:v>77819051.232</x:v>
      </x:c>
      <x:c r="H317" s="13" t="n">
        <x:v>0</x:v>
      </x:c>
      <x:c r="I317" s="13" t="n">
        <x:v>0</x:v>
      </x:c>
      <x:c r="J317" s="13" t="n">
        <x:v>-931090.784</x:v>
      </x:c>
      <x:c r="K317" s="13" t="n">
        <x:v>0</x:v>
      </x:c>
      <x:c r="L317" s="14" t="n">
        <x:f>G317-F317-SUM(H317:K317)</x:f>
        <x:v>-9.313225746154785e-9</x:v>
      </x:c>
    </x:row>
    <x:row r="318" ht="19" customHeight="1">
      <x:c r="A318" s="1" t="str">
        <x:v>expansion</x:v>
      </x:c>
      <x:c r="B318" s="1" t="str">
        <x:v>foundry-field</x:v>
      </x:c>
      <x:c r="C318" s="12" t="n">
        <x:v>2030</x:v>
      </x:c>
      <x:c r="D318" s="1" t="str">
        <x:v>revised</x:v>
      </x:c>
      <x:c r="E318" s="1" t="str">
        <x:v>net_income_usd</x:v>
      </x:c>
      <x:c r="F318" s="13" t="n">
        <x:v>62682638.7678</x:v>
      </x:c>
      <x:c r="G318" s="13" t="n">
        <x:v>63723173.9216</x:v>
      </x:c>
      <x:c r="H318" s="13" t="n">
        <x:v>1040535.1538</x:v>
      </x:c>
      <x:c r="I318" s="13" t="n">
        <x:v>0</x:v>
      </x:c>
      <x:c r="J318" s="13" t="n">
        <x:v>0</x:v>
      </x:c>
      <x:c r="K318" s="13" t="n">
        <x:v>0</x:v>
      </x:c>
      <x:c r="L318" s="14" t="n">
        <x:f>G318-F318-SUM(H318:K318)</x:f>
        <x:v>-4.190951585769653e-9</x:v>
      </x:c>
    </x:row>
    <x:row r="319" ht="19" customHeight="1">
      <x:c r="A319" s="1" t="str">
        <x:v>expansion</x:v>
      </x:c>
      <x:c r="B319" s="1" t="str">
        <x:v>foundry-field</x:v>
      </x:c>
      <x:c r="C319" s="12" t="n">
        <x:v>2030</x:v>
      </x:c>
      <x:c r="D319" s="1" t="str">
        <x:v>revised</x:v>
      </x:c>
      <x:c r="E319" s="1" t="str">
        <x:v>revenue_usd</x:v>
      </x:c>
      <x:c r="F319" s="13" t="n">
        <x:v>91014989.9773</x:v>
      </x:c>
      <x:c r="G319" s="13" t="n">
        <x:v>92056409.1368</x:v>
      </x:c>
      <x:c r="H319" s="13" t="n">
        <x:v>1041419.1595</x:v>
      </x:c>
      <x:c r="I319" s="13" t="n">
        <x:v>0</x:v>
      </x:c>
      <x:c r="J319" s="13" t="n">
        <x:v>0</x:v>
      </x:c>
      <x:c r="K319" s="13" t="n">
        <x:v>0</x:v>
      </x:c>
      <x:c r="L319" s="14" t="n">
        <x:f>G319-F319-SUM(H319:K319)</x:f>
        <x:v>2.9103830456733704e-9</x:v>
      </x:c>
    </x:row>
    <x:row r="320" ht="19" customHeight="1">
      <x:c r="A320" s="1" t="str">
        <x:v>expansion</x:v>
      </x:c>
      <x:c r="B320" s="1" t="str">
        <x:v>foundry-field</x:v>
      </x:c>
      <x:c r="C320" s="12" t="n">
        <x:v>2030</x:v>
      </x:c>
      <x:c r="D320" s="1" t="str">
        <x:v>synthetic_outturn</x:v>
      </x:c>
      <x:c r="E320" s="1" t="str">
        <x:v>net_income_usd</x:v>
      </x:c>
      <x:c r="F320" s="13" t="n">
        <x:v>63723173.9216</x:v>
      </x:c>
      <x:c r="G320" s="13" t="n">
        <x:v>62656232.5098</x:v>
      </x:c>
      <x:c r="H320" s="13" t="n">
        <x:v>0</x:v>
      </x:c>
      <x:c r="I320" s="13" t="n">
        <x:v>0</x:v>
      </x:c>
      <x:c r="J320" s="13" t="n">
        <x:v>-902158.1798</x:v>
      </x:c>
      <x:c r="K320" s="13" t="n">
        <x:v>-164783.232</x:v>
      </x:c>
      <x:c r="L320" s="14" t="n">
        <x:f>G320-F320-SUM(H320:K320)</x:f>
        <x:v>3.026798367500305e-9</x:v>
      </x:c>
    </x:row>
    <x:row r="321" ht="19" customHeight="1">
      <x:c r="A321" s="1" t="str">
        <x:v>expansion</x:v>
      </x:c>
      <x:c r="B321" s="1" t="str">
        <x:v>foundry-field</x:v>
      </x:c>
      <x:c r="C321" s="12" t="n">
        <x:v>2030</x:v>
      </x:c>
      <x:c r="D321" s="1" t="str">
        <x:v>synthetic_outturn</x:v>
      </x:c>
      <x:c r="E321" s="1" t="str">
        <x:v>revenue_usd</x:v>
      </x:c>
      <x:c r="F321" s="13" t="n">
        <x:v>92056409.1368</x:v>
      </x:c>
      <x:c r="G321" s="13" t="n">
        <x:v>91152346.7214</x:v>
      </x:c>
      <x:c r="H321" s="13" t="n">
        <x:v>0</x:v>
      </x:c>
      <x:c r="I321" s="13" t="n">
        <x:v>0</x:v>
      </x:c>
      <x:c r="J321" s="13" t="n">
        <x:v>-904062.4154</x:v>
      </x:c>
      <x:c r="K321" s="13" t="n">
        <x:v>0</x:v>
      </x:c>
      <x:c r="L321" s="14" t="n">
        <x:f>G321-F321-SUM(H321:K321)</x:f>
        <x:v>-1.3271346688270569e-8</x:v>
      </x:c>
    </x:row>
    <x:row r="322" ht="19" customHeight="1">
      <x:c r="A322" s="1" t="str">
        <x:v>expansion</x:v>
      </x:c>
      <x:c r="B322" s="1" t="str">
        <x:v>foundry-field</x:v>
      </x:c>
      <x:c r="C322" s="12" t="n">
        <x:v>2031</x:v>
      </x:c>
      <x:c r="D322" s="1" t="str">
        <x:v>revised</x:v>
      </x:c>
      <x:c r="E322" s="1" t="str">
        <x:v>net_income_usd</x:v>
      </x:c>
      <x:c r="F322" s="13" t="n">
        <x:v>70880076.8314</x:v>
      </x:c>
      <x:c r="G322" s="13" t="n">
        <x:v>72126819.6323</x:v>
      </x:c>
      <x:c r="H322" s="13" t="n">
        <x:v>1246742.8009</x:v>
      </x:c>
      <x:c r="I322" s="13" t="n">
        <x:v>0</x:v>
      </x:c>
      <x:c r="J322" s="13" t="n">
        <x:v>0</x:v>
      </x:c>
      <x:c r="K322" s="13" t="n">
        <x:v>0</x:v>
      </x:c>
      <x:c r="L322" s="14" t="n">
        <x:f>G322-F322-SUM(H322:K322)</x:f>
        <x:v>-2.561137080192566e-9</x:v>
      </x:c>
    </x:row>
    <x:row r="323" ht="19" customHeight="1">
      <x:c r="A323" s="1" t="str">
        <x:v>expansion</x:v>
      </x:c>
      <x:c r="B323" s="1" t="str">
        <x:v>foundry-field</x:v>
      </x:c>
      <x:c r="C323" s="12" t="n">
        <x:v>2031</x:v>
      </x:c>
      <x:c r="D323" s="1" t="str">
        <x:v>revised</x:v>
      </x:c>
      <x:c r="E323" s="1" t="str">
        <x:v>revenue_usd</x:v>
      </x:c>
      <x:c r="F323" s="13" t="n">
        <x:v>100114341.5712</x:v>
      </x:c>
      <x:c r="G323" s="13" t="n">
        <x:v>101361180.058</x:v>
      </x:c>
      <x:c r="H323" s="13" t="n">
        <x:v>1246838.4868</x:v>
      </x:c>
      <x:c r="I323" s="13" t="n">
        <x:v>0</x:v>
      </x:c>
      <x:c r="J323" s="13" t="n">
        <x:v>0</x:v>
      </x:c>
      <x:c r="K323" s="13" t="n">
        <x:v>0</x:v>
      </x:c>
      <x:c r="L323" s="14" t="n">
        <x:f>G323-F323-SUM(H323:K323)</x:f>
        <x:v>0</x:v>
      </x:c>
    </x:row>
    <x:row r="324" ht="19" customHeight="1">
      <x:c r="A324" s="1" t="str">
        <x:v>expansion</x:v>
      </x:c>
      <x:c r="B324" s="1" t="str">
        <x:v>foundry-field</x:v>
      </x:c>
      <x:c r="C324" s="12" t="n">
        <x:v>2031</x:v>
      </x:c>
      <x:c r="D324" s="1" t="str">
        <x:v>synthetic_outturn</x:v>
      </x:c>
      <x:c r="E324" s="1" t="str">
        <x:v>net_income_usd</x:v>
      </x:c>
      <x:c r="F324" s="13" t="n">
        <x:v>72126819.6323</x:v>
      </x:c>
      <x:c r="G324" s="13" t="n">
        <x:v>72107112.7173</x:v>
      </x:c>
      <x:c r="H324" s="13" t="n">
        <x:v>0</x:v>
      </x:c>
      <x:c r="I324" s="13" t="n">
        <x:v>0</x:v>
      </x:c>
      <x:c r="J324" s="13" t="n">
        <x:v>150019.813</x:v>
      </x:c>
      <x:c r="K324" s="13" t="n">
        <x:v>-169726.728</x:v>
      </x:c>
      <x:c r="L324" s="14" t="n">
        <x:f>G324-F324-SUM(H324:K324)</x:f>
        <x:v>-6.548361852765083e-9</x:v>
      </x:c>
    </x:row>
    <x:row r="325" ht="19" customHeight="1">
      <x:c r="A325" s="1" t="str">
        <x:v>expansion</x:v>
      </x:c>
      <x:c r="B325" s="1" t="str">
        <x:v>foundry-field</x:v>
      </x:c>
      <x:c r="C325" s="12" t="n">
        <x:v>2031</x:v>
      </x:c>
      <x:c r="D325" s="1" t="str">
        <x:v>synthetic_outturn</x:v>
      </x:c>
      <x:c r="E325" s="1" t="str">
        <x:v>revenue_usd</x:v>
      </x:c>
      <x:c r="F325" s="13" t="n">
        <x:v>101361180.058</x:v>
      </x:c>
      <x:c r="G325" s="13" t="n">
        <x:v>101514436.1061</x:v>
      </x:c>
      <x:c r="H325" s="13" t="n">
        <x:v>0</x:v>
      </x:c>
      <x:c r="I325" s="13" t="n">
        <x:v>0</x:v>
      </x:c>
      <x:c r="J325" s="13" t="n">
        <x:v>153256.0481</x:v>
      </x:c>
      <x:c r="K325" s="13" t="n">
        <x:v>0</x:v>
      </x:c>
      <x:c r="L325" s="14" t="n">
        <x:f>G325-F325-SUM(H325:K325)</x:f>
        <x:v>-5.3551048040390015e-9</x:v>
      </x:c>
    </x:row>
    <x:row r="326" ht="19" customHeight="1">
      <x:c r="A326" s="1" t="str">
        <x:v>expansion</x:v>
      </x:c>
      <x:c r="B326" s="1" t="str">
        <x:v>project-cradle</x:v>
      </x:c>
      <x:c r="C326" s="12" t="n">
        <x:v>2027</x:v>
      </x:c>
      <x:c r="D326" s="1" t="str">
        <x:v>revised</x:v>
      </x:c>
      <x:c r="E326" s="1" t="str">
        <x:v>net_income_usd</x:v>
      </x:c>
      <x:c r="F326" s="13" t="n">
        <x:v>-1955311.1702</x:v>
      </x:c>
      <x:c r="G326" s="13" t="n">
        <x:v>-1955311.1702</x:v>
      </x:c>
      <x:c r="H326" s="13" t="n">
        <x:v>0</x:v>
      </x:c>
      <x:c r="I326" s="13" t="n">
        <x:v>0</x:v>
      </x:c>
      <x:c r="J326" s="13" t="n">
        <x:v>0</x:v>
      </x:c>
      <x:c r="K326" s="13" t="n">
        <x:v>0</x:v>
      </x:c>
      <x:c r="L326" s="14" t="n">
        <x:f>G326-F326-SUM(H326:K326)</x:f>
        <x:v>0</x:v>
      </x:c>
    </x:row>
    <x:row r="327" ht="19" customHeight="1">
      <x:c r="A327" s="1" t="str">
        <x:v>expansion</x:v>
      </x:c>
      <x:c r="B327" s="1" t="str">
        <x:v>project-cradle</x:v>
      </x:c>
      <x:c r="C327" s="12" t="n">
        <x:v>2027</x:v>
      </x:c>
      <x:c r="D327" s="1" t="str">
        <x:v>revised</x:v>
      </x:c>
      <x:c r="E327" s="1" t="str">
        <x:v>revenue_usd</x:v>
      </x:c>
      <x:c r="F327" s="13" t="n">
        <x:v>1143068.6592</x:v>
      </x:c>
      <x:c r="G327" s="13" t="n">
        <x:v>1143068.6592</x:v>
      </x:c>
      <x:c r="H327" s="13" t="n">
        <x:v>0</x:v>
      </x:c>
      <x:c r="I327" s="13" t="n">
        <x:v>0</x:v>
      </x:c>
      <x:c r="J327" s="13" t="n">
        <x:v>0</x:v>
      </x:c>
      <x:c r="K327" s="13" t="n">
        <x:v>0</x:v>
      </x:c>
      <x:c r="L327" s="14" t="n">
        <x:f>G327-F327-SUM(H327:K327)</x:f>
        <x:v>0</x:v>
      </x:c>
    </x:row>
    <x:row r="328" ht="19" customHeight="1">
      <x:c r="A328" s="1" t="str">
        <x:v>expansion</x:v>
      </x:c>
      <x:c r="B328" s="1" t="str">
        <x:v>project-cradle</x:v>
      </x:c>
      <x:c r="C328" s="12" t="n">
        <x:v>2027</x:v>
      </x:c>
      <x:c r="D328" s="1" t="str">
        <x:v>synthetic_outturn</x:v>
      </x:c>
      <x:c r="E328" s="1" t="str">
        <x:v>net_income_usd</x:v>
      </x:c>
      <x:c r="F328" s="13" t="n">
        <x:v>-1955311.1702</x:v>
      </x:c>
      <x:c r="G328" s="13" t="n">
        <x:v>-1955311.1702</x:v>
      </x:c>
      <x:c r="H328" s="13" t="n">
        <x:v>0</x:v>
      </x:c>
      <x:c r="I328" s="13" t="n">
        <x:v>0</x:v>
      </x:c>
      <x:c r="J328" s="13" t="n">
        <x:v>0</x:v>
      </x:c>
      <x:c r="K328" s="13" t="n">
        <x:v>0</x:v>
      </x:c>
      <x:c r="L328" s="14" t="n">
        <x:f>G328-F328-SUM(H328:K328)</x:f>
        <x:v>0</x:v>
      </x:c>
    </x:row>
    <x:row r="329" ht="19" customHeight="1">
      <x:c r="A329" s="1" t="str">
        <x:v>expansion</x:v>
      </x:c>
      <x:c r="B329" s="1" t="str">
        <x:v>project-cradle</x:v>
      </x:c>
      <x:c r="C329" s="12" t="n">
        <x:v>2027</x:v>
      </x:c>
      <x:c r="D329" s="1" t="str">
        <x:v>synthetic_outturn</x:v>
      </x:c>
      <x:c r="E329" s="1" t="str">
        <x:v>revenue_usd</x:v>
      </x:c>
      <x:c r="F329" s="13" t="n">
        <x:v>1143068.6592</x:v>
      </x:c>
      <x:c r="G329" s="13" t="n">
        <x:v>1143068.6592</x:v>
      </x:c>
      <x:c r="H329" s="13" t="n">
        <x:v>0</x:v>
      </x:c>
      <x:c r="I329" s="13" t="n">
        <x:v>0</x:v>
      </x:c>
      <x:c r="J329" s="13" t="n">
        <x:v>0</x:v>
      </x:c>
      <x:c r="K329" s="13" t="n">
        <x:v>0</x:v>
      </x:c>
      <x:c r="L329" s="14" t="n">
        <x:f>G329-F329-SUM(H329:K329)</x:f>
        <x:v>0</x:v>
      </x:c>
    </x:row>
    <x:row r="330" ht="19" customHeight="1">
      <x:c r="A330" s="1" t="str">
        <x:v>expansion</x:v>
      </x:c>
      <x:c r="B330" s="1" t="str">
        <x:v>project-cradle</x:v>
      </x:c>
      <x:c r="C330" s="12" t="n">
        <x:v>2028</x:v>
      </x:c>
      <x:c r="D330" s="1" t="str">
        <x:v>revised</x:v>
      </x:c>
      <x:c r="E330" s="1" t="str">
        <x:v>net_income_usd</x:v>
      </x:c>
      <x:c r="F330" s="13" t="n">
        <x:v>-2031088.4823</x:v>
      </x:c>
      <x:c r="G330" s="13" t="n">
        <x:v>-2031088.4823</x:v>
      </x:c>
      <x:c r="H330" s="13" t="n">
        <x:v>0</x:v>
      </x:c>
      <x:c r="I330" s="13" t="n">
        <x:v>0</x:v>
      </x:c>
      <x:c r="J330" s="13" t="n">
        <x:v>0</x:v>
      </x:c>
      <x:c r="K330" s="13" t="n">
        <x:v>0</x:v>
      </x:c>
      <x:c r="L330" s="14" t="n">
        <x:f>G330-F330-SUM(H330:K330)</x:f>
        <x:v>0</x:v>
      </x:c>
    </x:row>
    <x:row r="331" ht="19" customHeight="1">
      <x:c r="A331" s="1" t="str">
        <x:v>expansion</x:v>
      </x:c>
      <x:c r="B331" s="1" t="str">
        <x:v>project-cradle</x:v>
      </x:c>
      <x:c r="C331" s="12" t="n">
        <x:v>2028</x:v>
      </x:c>
      <x:c r="D331" s="1" t="str">
        <x:v>revised</x:v>
      </x:c>
      <x:c r="E331" s="1" t="str">
        <x:v>revenue_usd</x:v>
      </x:c>
      <x:c r="F331" s="13" t="n">
        <x:v>1373389.056</x:v>
      </x:c>
      <x:c r="G331" s="13" t="n">
        <x:v>1373389.056</x:v>
      </x:c>
      <x:c r="H331" s="13" t="n">
        <x:v>0</x:v>
      </x:c>
      <x:c r="I331" s="13" t="n">
        <x:v>0</x:v>
      </x:c>
      <x:c r="J331" s="13" t="n">
        <x:v>0</x:v>
      </x:c>
      <x:c r="K331" s="13" t="n">
        <x:v>0</x:v>
      </x:c>
      <x:c r="L331" s="14" t="n">
        <x:f>G331-F331-SUM(H331:K331)</x:f>
        <x:v>0</x:v>
      </x:c>
    </x:row>
    <x:row r="332" ht="19" customHeight="1">
      <x:c r="A332" s="1" t="str">
        <x:v>expansion</x:v>
      </x:c>
      <x:c r="B332" s="1" t="str">
        <x:v>project-cradle</x:v>
      </x:c>
      <x:c r="C332" s="12" t="n">
        <x:v>2028</x:v>
      </x:c>
      <x:c r="D332" s="1" t="str">
        <x:v>synthetic_outturn</x:v>
      </x:c>
      <x:c r="E332" s="1" t="str">
        <x:v>net_income_usd</x:v>
      </x:c>
      <x:c r="F332" s="13" t="n">
        <x:v>-2031088.4823</x:v>
      </x:c>
      <x:c r="G332" s="13" t="n">
        <x:v>-2031088.4823</x:v>
      </x:c>
      <x:c r="H332" s="13" t="n">
        <x:v>0</x:v>
      </x:c>
      <x:c r="I332" s="13" t="n">
        <x:v>0</x:v>
      </x:c>
      <x:c r="J332" s="13" t="n">
        <x:v>0</x:v>
      </x:c>
      <x:c r="K332" s="13" t="n">
        <x:v>0</x:v>
      </x:c>
      <x:c r="L332" s="14" t="n">
        <x:f>G332-F332-SUM(H332:K332)</x:f>
        <x:v>0</x:v>
      </x:c>
    </x:row>
    <x:row r="333" ht="19" customHeight="1">
      <x:c r="A333" s="1" t="str">
        <x:v>expansion</x:v>
      </x:c>
      <x:c r="B333" s="1" t="str">
        <x:v>project-cradle</x:v>
      </x:c>
      <x:c r="C333" s="12" t="n">
        <x:v>2028</x:v>
      </x:c>
      <x:c r="D333" s="1" t="str">
        <x:v>synthetic_outturn</x:v>
      </x:c>
      <x:c r="E333" s="1" t="str">
        <x:v>revenue_usd</x:v>
      </x:c>
      <x:c r="F333" s="13" t="n">
        <x:v>1373389.056</x:v>
      </x:c>
      <x:c r="G333" s="13" t="n">
        <x:v>1373389.056</x:v>
      </x:c>
      <x:c r="H333" s="13" t="n">
        <x:v>0</x:v>
      </x:c>
      <x:c r="I333" s="13" t="n">
        <x:v>0</x:v>
      </x:c>
      <x:c r="J333" s="13" t="n">
        <x:v>0</x:v>
      </x:c>
      <x:c r="K333" s="13" t="n">
        <x:v>0</x:v>
      </x:c>
      <x:c r="L333" s="14" t="n">
        <x:f>G333-F333-SUM(H333:K333)</x:f>
        <x:v>0</x:v>
      </x:c>
    </x:row>
    <x:row r="334" ht="19" customHeight="1">
      <x:c r="A334" s="1" t="str">
        <x:v>expansion</x:v>
      </x:c>
      <x:c r="B334" s="1" t="str">
        <x:v>project-cradle</x:v>
      </x:c>
      <x:c r="C334" s="12" t="n">
        <x:v>2029</x:v>
      </x:c>
      <x:c r="D334" s="1" t="str">
        <x:v>revised</x:v>
      </x:c>
      <x:c r="E334" s="1" t="str">
        <x:v>net_income_usd</x:v>
      </x:c>
      <x:c r="F334" s="13" t="n">
        <x:v>-2206651.639</x:v>
      </x:c>
      <x:c r="G334" s="13" t="n">
        <x:v>-2206651.639</x:v>
      </x:c>
      <x:c r="H334" s="13" t="n">
        <x:v>0</x:v>
      </x:c>
      <x:c r="I334" s="13" t="n">
        <x:v>0</x:v>
      </x:c>
      <x:c r="J334" s="13" t="n">
        <x:v>0</x:v>
      </x:c>
      <x:c r="K334" s="13" t="n">
        <x:v>0</x:v>
      </x:c>
      <x:c r="L334" s="14" t="n">
        <x:f>G334-F334-SUM(H334:K334)</x:f>
        <x:v>0</x:v>
      </x:c>
    </x:row>
    <x:row r="335" ht="19" customHeight="1">
      <x:c r="A335" s="1" t="str">
        <x:v>expansion</x:v>
      </x:c>
      <x:c r="B335" s="1" t="str">
        <x:v>project-cradle</x:v>
      </x:c>
      <x:c r="C335" s="12" t="n">
        <x:v>2029</x:v>
      </x:c>
      <x:c r="D335" s="1" t="str">
        <x:v>revised</x:v>
      </x:c>
      <x:c r="E335" s="1" t="str">
        <x:v>revenue_usd</x:v>
      </x:c>
      <x:c r="F335" s="13" t="n">
        <x:v>1261416.4992</x:v>
      </x:c>
      <x:c r="G335" s="13" t="n">
        <x:v>1261416.4992</x:v>
      </x:c>
      <x:c r="H335" s="13" t="n">
        <x:v>0</x:v>
      </x:c>
      <x:c r="I335" s="13" t="n">
        <x:v>0</x:v>
      </x:c>
      <x:c r="J335" s="13" t="n">
        <x:v>0</x:v>
      </x:c>
      <x:c r="K335" s="13" t="n">
        <x:v>0</x:v>
      </x:c>
      <x:c r="L335" s="14" t="n">
        <x:f>G335-F335-SUM(H335:K335)</x:f>
        <x:v>0</x:v>
      </x:c>
    </x:row>
    <x:row r="336" ht="19" customHeight="1">
      <x:c r="A336" s="1" t="str">
        <x:v>expansion</x:v>
      </x:c>
      <x:c r="B336" s="1" t="str">
        <x:v>project-cradle</x:v>
      </x:c>
      <x:c r="C336" s="12" t="n">
        <x:v>2029</x:v>
      </x:c>
      <x:c r="D336" s="1" t="str">
        <x:v>synthetic_outturn</x:v>
      </x:c>
      <x:c r="E336" s="1" t="str">
        <x:v>net_income_usd</x:v>
      </x:c>
      <x:c r="F336" s="13" t="n">
        <x:v>-2206651.639</x:v>
      </x:c>
      <x:c r="G336" s="13" t="n">
        <x:v>-2206651.639</x:v>
      </x:c>
      <x:c r="H336" s="13" t="n">
        <x:v>0</x:v>
      </x:c>
      <x:c r="I336" s="13" t="n">
        <x:v>0</x:v>
      </x:c>
      <x:c r="J336" s="13" t="n">
        <x:v>0</x:v>
      </x:c>
      <x:c r="K336" s="13" t="n">
        <x:v>0</x:v>
      </x:c>
      <x:c r="L336" s="14" t="n">
        <x:f>G336-F336-SUM(H336:K336)</x:f>
        <x:v>0</x:v>
      </x:c>
    </x:row>
    <x:row r="337" ht="19" customHeight="1">
      <x:c r="A337" s="1" t="str">
        <x:v>expansion</x:v>
      </x:c>
      <x:c r="B337" s="1" t="str">
        <x:v>project-cradle</x:v>
      </x:c>
      <x:c r="C337" s="12" t="n">
        <x:v>2029</x:v>
      </x:c>
      <x:c r="D337" s="1" t="str">
        <x:v>synthetic_outturn</x:v>
      </x:c>
      <x:c r="E337" s="1" t="str">
        <x:v>revenue_usd</x:v>
      </x:c>
      <x:c r="F337" s="13" t="n">
        <x:v>1261416.4992</x:v>
      </x:c>
      <x:c r="G337" s="13" t="n">
        <x:v>1261416.4992</x:v>
      </x:c>
      <x:c r="H337" s="13" t="n">
        <x:v>0</x:v>
      </x:c>
      <x:c r="I337" s="13" t="n">
        <x:v>0</x:v>
      </x:c>
      <x:c r="J337" s="13" t="n">
        <x:v>0</x:v>
      </x:c>
      <x:c r="K337" s="13" t="n">
        <x:v>0</x:v>
      </x:c>
      <x:c r="L337" s="14" t="n">
        <x:f>G337-F337-SUM(H337:K337)</x:f>
        <x:v>0</x:v>
      </x:c>
    </x:row>
    <x:row r="338" ht="19" customHeight="1">
      <x:c r="A338" s="1" t="str">
        <x:v>expansion</x:v>
      </x:c>
      <x:c r="B338" s="1" t="str">
        <x:v>project-cradle</x:v>
      </x:c>
      <x:c r="C338" s="12" t="n">
        <x:v>2030</x:v>
      </x:c>
      <x:c r="D338" s="1" t="str">
        <x:v>revised</x:v>
      </x:c>
      <x:c r="E338" s="1" t="str">
        <x:v>net_income_usd</x:v>
      </x:c>
      <x:c r="F338" s="13" t="n">
        <x:v>-2270775.5111</x:v>
      </x:c>
      <x:c r="G338" s="13" t="n">
        <x:v>-2270775.5111</x:v>
      </x:c>
      <x:c r="H338" s="13" t="n">
        <x:v>0</x:v>
      </x:c>
      <x:c r="I338" s="13" t="n">
        <x:v>0</x:v>
      </x:c>
      <x:c r="J338" s="13" t="n">
        <x:v>0</x:v>
      </x:c>
      <x:c r="K338" s="13" t="n">
        <x:v>0</x:v>
      </x:c>
      <x:c r="L338" s="14" t="n">
        <x:f>G338-F338-SUM(H338:K338)</x:f>
        <x:v>0</x:v>
      </x:c>
    </x:row>
    <x:row r="339" ht="19" customHeight="1">
      <x:c r="A339" s="1" t="str">
        <x:v>expansion</x:v>
      </x:c>
      <x:c r="B339" s="1" t="str">
        <x:v>project-cradle</x:v>
      </x:c>
      <x:c r="C339" s="12" t="n">
        <x:v>2030</x:v>
      </x:c>
      <x:c r="D339" s="1" t="str">
        <x:v>revised</x:v>
      </x:c>
      <x:c r="E339" s="1" t="str">
        <x:v>revenue_usd</x:v>
      </x:c>
      <x:c r="F339" s="13" t="n">
        <x:v>1261416.4992</x:v>
      </x:c>
      <x:c r="G339" s="13" t="n">
        <x:v>1261416.4992</x:v>
      </x:c>
      <x:c r="H339" s="13" t="n">
        <x:v>0</x:v>
      </x:c>
      <x:c r="I339" s="13" t="n">
        <x:v>0</x:v>
      </x:c>
      <x:c r="J339" s="13" t="n">
        <x:v>0</x:v>
      </x:c>
      <x:c r="K339" s="13" t="n">
        <x:v>0</x:v>
      </x:c>
      <x:c r="L339" s="14" t="n">
        <x:f>G339-F339-SUM(H339:K339)</x:f>
        <x:v>0</x:v>
      </x:c>
    </x:row>
    <x:row r="340" ht="19" customHeight="1">
      <x:c r="A340" s="1" t="str">
        <x:v>expansion</x:v>
      </x:c>
      <x:c r="B340" s="1" t="str">
        <x:v>project-cradle</x:v>
      </x:c>
      <x:c r="C340" s="12" t="n">
        <x:v>2030</x:v>
      </x:c>
      <x:c r="D340" s="1" t="str">
        <x:v>synthetic_outturn</x:v>
      </x:c>
      <x:c r="E340" s="1" t="str">
        <x:v>net_income_usd</x:v>
      </x:c>
      <x:c r="F340" s="13" t="n">
        <x:v>-2270775.5111</x:v>
      </x:c>
      <x:c r="G340" s="13" t="n">
        <x:v>-2270775.5111</x:v>
      </x:c>
      <x:c r="H340" s="13" t="n">
        <x:v>0</x:v>
      </x:c>
      <x:c r="I340" s="13" t="n">
        <x:v>0</x:v>
      </x:c>
      <x:c r="J340" s="13" t="n">
        <x:v>0</x:v>
      </x:c>
      <x:c r="K340" s="13" t="n">
        <x:v>0</x:v>
      </x:c>
      <x:c r="L340" s="14" t="n">
        <x:f>G340-F340-SUM(H340:K340)</x:f>
        <x:v>0</x:v>
      </x:c>
    </x:row>
    <x:row r="341" ht="19" customHeight="1">
      <x:c r="A341" s="1" t="str">
        <x:v>expansion</x:v>
      </x:c>
      <x:c r="B341" s="1" t="str">
        <x:v>project-cradle</x:v>
      </x:c>
      <x:c r="C341" s="12" t="n">
        <x:v>2030</x:v>
      </x:c>
      <x:c r="D341" s="1" t="str">
        <x:v>synthetic_outturn</x:v>
      </x:c>
      <x:c r="E341" s="1" t="str">
        <x:v>revenue_usd</x:v>
      </x:c>
      <x:c r="F341" s="13" t="n">
        <x:v>1261416.4992</x:v>
      </x:c>
      <x:c r="G341" s="13" t="n">
        <x:v>1261416.4992</x:v>
      </x:c>
      <x:c r="H341" s="13" t="n">
        <x:v>0</x:v>
      </x:c>
      <x:c r="I341" s="13" t="n">
        <x:v>0</x:v>
      </x:c>
      <x:c r="J341" s="13" t="n">
        <x:v>0</x:v>
      </x:c>
      <x:c r="K341" s="13" t="n">
        <x:v>0</x:v>
      </x:c>
      <x:c r="L341" s="14" t="n">
        <x:f>G341-F341-SUM(H341:K341)</x:f>
        <x:v>0</x:v>
      </x:c>
    </x:row>
    <x:row r="342" ht="19" customHeight="1">
      <x:c r="A342" s="1" t="str">
        <x:v>expansion</x:v>
      </x:c>
      <x:c r="B342" s="1" t="str">
        <x:v>project-cradle</x:v>
      </x:c>
      <x:c r="C342" s="12" t="n">
        <x:v>2031</x:v>
      </x:c>
      <x:c r="D342" s="1" t="str">
        <x:v>revised</x:v>
      </x:c>
      <x:c r="E342" s="1" t="str">
        <x:v>net_income_usd</x:v>
      </x:c>
      <x:c r="F342" s="13" t="n">
        <x:v>-2280005.9985</x:v>
      </x:c>
      <x:c r="G342" s="13" t="n">
        <x:v>-2280005.9985</x:v>
      </x:c>
      <x:c r="H342" s="13" t="n">
        <x:v>0</x:v>
      </x:c>
      <x:c r="I342" s="13" t="n">
        <x:v>0</x:v>
      </x:c>
      <x:c r="J342" s="13" t="n">
        <x:v>0</x:v>
      </x:c>
      <x:c r="K342" s="13" t="n">
        <x:v>0</x:v>
      </x:c>
      <x:c r="L342" s="14" t="n">
        <x:f>G342-F342-SUM(H342:K342)</x:f>
        <x:v>0</x:v>
      </x:c>
    </x:row>
    <x:row r="343" ht="19" customHeight="1">
      <x:c r="A343" s="1" t="str">
        <x:v>expansion</x:v>
      </x:c>
      <x:c r="B343" s="1" t="str">
        <x:v>project-cradle</x:v>
      </x:c>
      <x:c r="C343" s="12" t="n">
        <x:v>2031</x:v>
      </x:c>
      <x:c r="D343" s="1" t="str">
        <x:v>revised</x:v>
      </x:c>
      <x:c r="E343" s="1" t="str">
        <x:v>revenue_usd</x:v>
      </x:c>
      <x:c r="F343" s="13" t="n">
        <x:v>1374739.8912</x:v>
      </x:c>
      <x:c r="G343" s="13" t="n">
        <x:v>1374739.8912</x:v>
      </x:c>
      <x:c r="H343" s="13" t="n">
        <x:v>0</x:v>
      </x:c>
      <x:c r="I343" s="13" t="n">
        <x:v>0</x:v>
      </x:c>
      <x:c r="J343" s="13" t="n">
        <x:v>0</x:v>
      </x:c>
      <x:c r="K343" s="13" t="n">
        <x:v>0</x:v>
      </x:c>
      <x:c r="L343" s="14" t="n">
        <x:f>G343-F343-SUM(H343:K343)</x:f>
        <x:v>0</x:v>
      </x:c>
    </x:row>
    <x:row r="344" ht="19" customHeight="1">
      <x:c r="A344" s="1" t="str">
        <x:v>expansion</x:v>
      </x:c>
      <x:c r="B344" s="1" t="str">
        <x:v>project-cradle</x:v>
      </x:c>
      <x:c r="C344" s="12" t="n">
        <x:v>2031</x:v>
      </x:c>
      <x:c r="D344" s="1" t="str">
        <x:v>synthetic_outturn</x:v>
      </x:c>
      <x:c r="E344" s="1" t="str">
        <x:v>net_income_usd</x:v>
      </x:c>
      <x:c r="F344" s="13" t="n">
        <x:v>-2280005.9985</x:v>
      </x:c>
      <x:c r="G344" s="13" t="n">
        <x:v>-2280005.9985</x:v>
      </x:c>
      <x:c r="H344" s="13" t="n">
        <x:v>0</x:v>
      </x:c>
      <x:c r="I344" s="13" t="n">
        <x:v>0</x:v>
      </x:c>
      <x:c r="J344" s="13" t="n">
        <x:v>0</x:v>
      </x:c>
      <x:c r="K344" s="13" t="n">
        <x:v>0</x:v>
      </x:c>
      <x:c r="L344" s="14" t="n">
        <x:f>G344-F344-SUM(H344:K344)</x:f>
        <x:v>0</x:v>
      </x:c>
    </x:row>
    <x:row r="345" ht="19" customHeight="1">
      <x:c r="A345" s="1" t="str">
        <x:v>expansion</x:v>
      </x:c>
      <x:c r="B345" s="1" t="str">
        <x:v>project-cradle</x:v>
      </x:c>
      <x:c r="C345" s="12" t="n">
        <x:v>2031</x:v>
      </x:c>
      <x:c r="D345" s="1" t="str">
        <x:v>synthetic_outturn</x:v>
      </x:c>
      <x:c r="E345" s="1" t="str">
        <x:v>revenue_usd</x:v>
      </x:c>
      <x:c r="F345" s="13" t="n">
        <x:v>1374739.8912</x:v>
      </x:c>
      <x:c r="G345" s="13" t="n">
        <x:v>1374739.8912</x:v>
      </x:c>
      <x:c r="H345" s="13" t="n">
        <x:v>0</x:v>
      </x:c>
      <x:c r="I345" s="13" t="n">
        <x:v>0</x:v>
      </x:c>
      <x:c r="J345" s="13" t="n">
        <x:v>0</x:v>
      </x:c>
      <x:c r="K345" s="13" t="n">
        <x:v>0</x:v>
      </x:c>
      <x:c r="L345" s="14" t="n">
        <x:f>G345-F345-SUM(H345:K345)</x:f>
        <x:v>0</x:v>
      </x:c>
    </x:row>
    <x:row r="346" ht="19" customHeight="1">
      <x:c r="A346" s="1" t="str">
        <x:v>expansion</x:v>
      </x:c>
      <x:c r="B346" s="1" t="str">
        <x:v>willow</x:v>
      </x:c>
      <x:c r="C346" s="12" t="n">
        <x:v>2027</x:v>
      </x:c>
      <x:c r="D346" s="1" t="str">
        <x:v>revised</x:v>
      </x:c>
      <x:c r="E346" s="1" t="str">
        <x:v>net_income_usd</x:v>
      </x:c>
      <x:c r="F346" s="13" t="n">
        <x:v>-4104880</x:v>
      </x:c>
      <x:c r="G346" s="13" t="n">
        <x:v>-4104880</x:v>
      </x:c>
      <x:c r="H346" s="13" t="n">
        <x:v>0</x:v>
      </x:c>
      <x:c r="I346" s="13" t="n">
        <x:v>0</x:v>
      </x:c>
      <x:c r="J346" s="13" t="n">
        <x:v>0</x:v>
      </x:c>
      <x:c r="K346" s="13" t="n">
        <x:v>0</x:v>
      </x:c>
      <x:c r="L346" s="14" t="n">
        <x:f>G346-F346-SUM(H346:K346)</x:f>
        <x:v>0</x:v>
      </x:c>
    </x:row>
    <x:row r="347" ht="19" customHeight="1">
      <x:c r="A347" s="1" t="str">
        <x:v>expansion</x:v>
      </x:c>
      <x:c r="B347" s="1" t="str">
        <x:v>willow</x:v>
      </x:c>
      <x:c r="C347" s="12" t="n">
        <x:v>2027</x:v>
      </x:c>
      <x:c r="D347" s="1" t="str">
        <x:v>revised</x:v>
      </x:c>
      <x:c r="E347" s="1" t="str">
        <x:v>revenue_usd</x:v>
      </x:c>
      <x:c r="F347" s="13" t="n">
        <x:v>0</x:v>
      </x:c>
      <x:c r="G347" s="13" t="n">
        <x:v>0</x:v>
      </x:c>
      <x:c r="H347" s="13" t="n">
        <x:v>0</x:v>
      </x:c>
      <x:c r="I347" s="13" t="n">
        <x:v>0</x:v>
      </x:c>
      <x:c r="J347" s="13" t="n">
        <x:v>0</x:v>
      </x:c>
      <x:c r="K347" s="13" t="n">
        <x:v>0</x:v>
      </x:c>
      <x:c r="L347" s="14" t="n">
        <x:f>G347-F347-SUM(H347:K347)</x:f>
        <x:v>0</x:v>
      </x:c>
    </x:row>
    <x:row r="348" ht="19" customHeight="1">
      <x:c r="A348" s="1" t="str">
        <x:v>expansion</x:v>
      </x:c>
      <x:c r="B348" s="1" t="str">
        <x:v>willow</x:v>
      </x:c>
      <x:c r="C348" s="12" t="n">
        <x:v>2027</x:v>
      </x:c>
      <x:c r="D348" s="1" t="str">
        <x:v>synthetic_outturn</x:v>
      </x:c>
      <x:c r="E348" s="1" t="str">
        <x:v>net_income_usd</x:v>
      </x:c>
      <x:c r="F348" s="13" t="n">
        <x:v>-4104880</x:v>
      </x:c>
      <x:c r="G348" s="13" t="n">
        <x:v>-4104880</x:v>
      </x:c>
      <x:c r="H348" s="13" t="n">
        <x:v>0</x:v>
      </x:c>
      <x:c r="I348" s="13" t="n">
        <x:v>0</x:v>
      </x:c>
      <x:c r="J348" s="13" t="n">
        <x:v>0</x:v>
      </x:c>
      <x:c r="K348" s="13" t="n">
        <x:v>0</x:v>
      </x:c>
      <x:c r="L348" s="14" t="n">
        <x:f>G348-F348-SUM(H348:K348)</x:f>
        <x:v>0</x:v>
      </x:c>
    </x:row>
    <x:row r="349" ht="19" customHeight="1">
      <x:c r="A349" s="1" t="str">
        <x:v>expansion</x:v>
      </x:c>
      <x:c r="B349" s="1" t="str">
        <x:v>willow</x:v>
      </x:c>
      <x:c r="C349" s="12" t="n">
        <x:v>2027</x:v>
      </x:c>
      <x:c r="D349" s="1" t="str">
        <x:v>synthetic_outturn</x:v>
      </x:c>
      <x:c r="E349" s="1" t="str">
        <x:v>revenue_usd</x:v>
      </x:c>
      <x:c r="F349" s="13" t="n">
        <x:v>0</x:v>
      </x:c>
      <x:c r="G349" s="13" t="n">
        <x:v>0</x:v>
      </x:c>
      <x:c r="H349" s="13" t="n">
        <x:v>0</x:v>
      </x:c>
      <x:c r="I349" s="13" t="n">
        <x:v>0</x:v>
      </x:c>
      <x:c r="J349" s="13" t="n">
        <x:v>0</x:v>
      </x:c>
      <x:c r="K349" s="13" t="n">
        <x:v>0</x:v>
      </x:c>
      <x:c r="L349" s="14" t="n">
        <x:f>G349-F349-SUM(H349:K349)</x:f>
        <x:v>0</x:v>
      </x:c>
    </x:row>
    <x:row r="350" ht="19" customHeight="1">
      <x:c r="A350" s="1" t="str">
        <x:v>expansion</x:v>
      </x:c>
      <x:c r="B350" s="1" t="str">
        <x:v>willow</x:v>
      </x:c>
      <x:c r="C350" s="12" t="n">
        <x:v>2028</x:v>
      </x:c>
      <x:c r="D350" s="1" t="str">
        <x:v>revised</x:v>
      </x:c>
      <x:c r="E350" s="1" t="str">
        <x:v>net_income_usd</x:v>
      </x:c>
      <x:c r="F350" s="13" t="n">
        <x:v>-3933592</x:v>
      </x:c>
      <x:c r="G350" s="13" t="n">
        <x:v>-3933592</x:v>
      </x:c>
      <x:c r="H350" s="13" t="n">
        <x:v>0</x:v>
      </x:c>
      <x:c r="I350" s="13" t="n">
        <x:v>0</x:v>
      </x:c>
      <x:c r="J350" s="13" t="n">
        <x:v>0</x:v>
      </x:c>
      <x:c r="K350" s="13" t="n">
        <x:v>0</x:v>
      </x:c>
      <x:c r="L350" s="14" t="n">
        <x:f>G350-F350-SUM(H350:K350)</x:f>
        <x:v>0</x:v>
      </x:c>
    </x:row>
    <x:row r="351" ht="19" customHeight="1">
      <x:c r="A351" s="1" t="str">
        <x:v>expansion</x:v>
      </x:c>
      <x:c r="B351" s="1" t="str">
        <x:v>willow</x:v>
      </x:c>
      <x:c r="C351" s="12" t="n">
        <x:v>2028</x:v>
      </x:c>
      <x:c r="D351" s="1" t="str">
        <x:v>revised</x:v>
      </x:c>
      <x:c r="E351" s="1" t="str">
        <x:v>revenue_usd</x:v>
      </x:c>
      <x:c r="F351" s="13" t="n">
        <x:v>0</x:v>
      </x:c>
      <x:c r="G351" s="13" t="n">
        <x:v>0</x:v>
      </x:c>
      <x:c r="H351" s="13" t="n">
        <x:v>0</x:v>
      </x:c>
      <x:c r="I351" s="13" t="n">
        <x:v>0</x:v>
      </x:c>
      <x:c r="J351" s="13" t="n">
        <x:v>0</x:v>
      </x:c>
      <x:c r="K351" s="13" t="n">
        <x:v>0</x:v>
      </x:c>
      <x:c r="L351" s="14" t="n">
        <x:f>G351-F351-SUM(H351:K351)</x:f>
        <x:v>0</x:v>
      </x:c>
    </x:row>
    <x:row r="352" ht="19" customHeight="1">
      <x:c r="A352" s="1" t="str">
        <x:v>expansion</x:v>
      </x:c>
      <x:c r="B352" s="1" t="str">
        <x:v>willow</x:v>
      </x:c>
      <x:c r="C352" s="12" t="n">
        <x:v>2028</x:v>
      </x:c>
      <x:c r="D352" s="1" t="str">
        <x:v>synthetic_outturn</x:v>
      </x:c>
      <x:c r="E352" s="1" t="str">
        <x:v>net_income_usd</x:v>
      </x:c>
      <x:c r="F352" s="13" t="n">
        <x:v>-3933592</x:v>
      </x:c>
      <x:c r="G352" s="13" t="n">
        <x:v>-3933592</x:v>
      </x:c>
      <x:c r="H352" s="13" t="n">
        <x:v>0</x:v>
      </x:c>
      <x:c r="I352" s="13" t="n">
        <x:v>0</x:v>
      </x:c>
      <x:c r="J352" s="13" t="n">
        <x:v>0</x:v>
      </x:c>
      <x:c r="K352" s="13" t="n">
        <x:v>0</x:v>
      </x:c>
      <x:c r="L352" s="14" t="n">
        <x:f>G352-F352-SUM(H352:K352)</x:f>
        <x:v>0</x:v>
      </x:c>
    </x:row>
    <x:row r="353" ht="19" customHeight="1">
      <x:c r="A353" s="1" t="str">
        <x:v>expansion</x:v>
      </x:c>
      <x:c r="B353" s="1" t="str">
        <x:v>willow</x:v>
      </x:c>
      <x:c r="C353" s="12" t="n">
        <x:v>2028</x:v>
      </x:c>
      <x:c r="D353" s="1" t="str">
        <x:v>synthetic_outturn</x:v>
      </x:c>
      <x:c r="E353" s="1" t="str">
        <x:v>revenue_usd</x:v>
      </x:c>
      <x:c r="F353" s="13" t="n">
        <x:v>0</x:v>
      </x:c>
      <x:c r="G353" s="13" t="n">
        <x:v>0</x:v>
      </x:c>
      <x:c r="H353" s="13" t="n">
        <x:v>0</x:v>
      </x:c>
      <x:c r="I353" s="13" t="n">
        <x:v>0</x:v>
      </x:c>
      <x:c r="J353" s="13" t="n">
        <x:v>0</x:v>
      </x:c>
      <x:c r="K353" s="13" t="n">
        <x:v>0</x:v>
      </x:c>
      <x:c r="L353" s="14" t="n">
        <x:f>G353-F353-SUM(H353:K353)</x:f>
        <x:v>0</x:v>
      </x:c>
    </x:row>
    <x:row r="354" ht="19" customHeight="1">
      <x:c r="A354" s="1" t="str">
        <x:v>expansion</x:v>
      </x:c>
      <x:c r="B354" s="1" t="str">
        <x:v>willow</x:v>
      </x:c>
      <x:c r="C354" s="12" t="n">
        <x:v>2029</x:v>
      </x:c>
      <x:c r="D354" s="1" t="str">
        <x:v>revised</x:v>
      </x:c>
      <x:c r="E354" s="1" t="str">
        <x:v>net_income_usd</x:v>
      </x:c>
      <x:c r="F354" s="13" t="n">
        <x:v>-4012069.36</x:v>
      </x:c>
      <x:c r="G354" s="13" t="n">
        <x:v>-4012069.36</x:v>
      </x:c>
      <x:c r="H354" s="13" t="n">
        <x:v>0</x:v>
      </x:c>
      <x:c r="I354" s="13" t="n">
        <x:v>0</x:v>
      </x:c>
      <x:c r="J354" s="13" t="n">
        <x:v>0</x:v>
      </x:c>
      <x:c r="K354" s="13" t="n">
        <x:v>0</x:v>
      </x:c>
      <x:c r="L354" s="14" t="n">
        <x:f>G354-F354-SUM(H354:K354)</x:f>
        <x:v>0</x:v>
      </x:c>
    </x:row>
    <x:row r="355" ht="19" customHeight="1">
      <x:c r="A355" s="1" t="str">
        <x:v>expansion</x:v>
      </x:c>
      <x:c r="B355" s="1" t="str">
        <x:v>willow</x:v>
      </x:c>
      <x:c r="C355" s="12" t="n">
        <x:v>2029</x:v>
      </x:c>
      <x:c r="D355" s="1" t="str">
        <x:v>revised</x:v>
      </x:c>
      <x:c r="E355" s="1" t="str">
        <x:v>revenue_usd</x:v>
      </x:c>
      <x:c r="F355" s="13" t="n">
        <x:v>0</x:v>
      </x:c>
      <x:c r="G355" s="13" t="n">
        <x:v>0</x:v>
      </x:c>
      <x:c r="H355" s="13" t="n">
        <x:v>0</x:v>
      </x:c>
      <x:c r="I355" s="13" t="n">
        <x:v>0</x:v>
      </x:c>
      <x:c r="J355" s="13" t="n">
        <x:v>0</x:v>
      </x:c>
      <x:c r="K355" s="13" t="n">
        <x:v>0</x:v>
      </x:c>
      <x:c r="L355" s="14" t="n">
        <x:f>G355-F355-SUM(H355:K355)</x:f>
        <x:v>0</x:v>
      </x:c>
    </x:row>
    <x:row r="356" ht="19" customHeight="1">
      <x:c r="A356" s="1" t="str">
        <x:v>expansion</x:v>
      </x:c>
      <x:c r="B356" s="1" t="str">
        <x:v>willow</x:v>
      </x:c>
      <x:c r="C356" s="12" t="n">
        <x:v>2029</x:v>
      </x:c>
      <x:c r="D356" s="1" t="str">
        <x:v>synthetic_outturn</x:v>
      </x:c>
      <x:c r="E356" s="1" t="str">
        <x:v>net_income_usd</x:v>
      </x:c>
      <x:c r="F356" s="13" t="n">
        <x:v>-4012069.36</x:v>
      </x:c>
      <x:c r="G356" s="13" t="n">
        <x:v>-4012069.36</x:v>
      </x:c>
      <x:c r="H356" s="13" t="n">
        <x:v>0</x:v>
      </x:c>
      <x:c r="I356" s="13" t="n">
        <x:v>0</x:v>
      </x:c>
      <x:c r="J356" s="13" t="n">
        <x:v>0</x:v>
      </x:c>
      <x:c r="K356" s="13" t="n">
        <x:v>0</x:v>
      </x:c>
      <x:c r="L356" s="14" t="n">
        <x:f>G356-F356-SUM(H356:K356)</x:f>
        <x:v>0</x:v>
      </x:c>
    </x:row>
    <x:row r="357" ht="19" customHeight="1">
      <x:c r="A357" s="1" t="str">
        <x:v>expansion</x:v>
      </x:c>
      <x:c r="B357" s="1" t="str">
        <x:v>willow</x:v>
      </x:c>
      <x:c r="C357" s="12" t="n">
        <x:v>2029</x:v>
      </x:c>
      <x:c r="D357" s="1" t="str">
        <x:v>synthetic_outturn</x:v>
      </x:c>
      <x:c r="E357" s="1" t="str">
        <x:v>revenue_usd</x:v>
      </x:c>
      <x:c r="F357" s="13" t="n">
        <x:v>0</x:v>
      </x:c>
      <x:c r="G357" s="13" t="n">
        <x:v>0</x:v>
      </x:c>
      <x:c r="H357" s="13" t="n">
        <x:v>0</x:v>
      </x:c>
      <x:c r="I357" s="13" t="n">
        <x:v>0</x:v>
      </x:c>
      <x:c r="J357" s="13" t="n">
        <x:v>0</x:v>
      </x:c>
      <x:c r="K357" s="13" t="n">
        <x:v>0</x:v>
      </x:c>
      <x:c r="L357" s="14" t="n">
        <x:f>G357-F357-SUM(H357:K357)</x:f>
        <x:v>0</x:v>
      </x:c>
    </x:row>
    <x:row r="358" ht="19" customHeight="1">
      <x:c r="A358" s="1" t="str">
        <x:v>expansion</x:v>
      </x:c>
      <x:c r="B358" s="1" t="str">
        <x:v>willow</x:v>
      </x:c>
      <x:c r="C358" s="12" t="n">
        <x:v>2030</x:v>
      </x:c>
      <x:c r="D358" s="1" t="str">
        <x:v>revised</x:v>
      </x:c>
      <x:c r="E358" s="1" t="str">
        <x:v>net_income_usd</x:v>
      </x:c>
      <x:c r="F358" s="13" t="n">
        <x:v>-4082490.6408</x:v>
      </x:c>
      <x:c r="G358" s="13" t="n">
        <x:v>-4082490.6408</x:v>
      </x:c>
      <x:c r="H358" s="13" t="n">
        <x:v>0</x:v>
      </x:c>
      <x:c r="I358" s="13" t="n">
        <x:v>0</x:v>
      </x:c>
      <x:c r="J358" s="13" t="n">
        <x:v>0</x:v>
      </x:c>
      <x:c r="K358" s="13" t="n">
        <x:v>0</x:v>
      </x:c>
      <x:c r="L358" s="14" t="n">
        <x:f>G358-F358-SUM(H358:K358)</x:f>
        <x:v>0</x:v>
      </x:c>
    </x:row>
    <x:row r="359" ht="19" customHeight="1">
      <x:c r="A359" s="1" t="str">
        <x:v>expansion</x:v>
      </x:c>
      <x:c r="B359" s="1" t="str">
        <x:v>willow</x:v>
      </x:c>
      <x:c r="C359" s="12" t="n">
        <x:v>2030</x:v>
      </x:c>
      <x:c r="D359" s="1" t="str">
        <x:v>revised</x:v>
      </x:c>
      <x:c r="E359" s="1" t="str">
        <x:v>revenue_usd</x:v>
      </x:c>
      <x:c r="F359" s="13" t="n">
        <x:v>0</x:v>
      </x:c>
      <x:c r="G359" s="13" t="n">
        <x:v>0</x:v>
      </x:c>
      <x:c r="H359" s="13" t="n">
        <x:v>0</x:v>
      </x:c>
      <x:c r="I359" s="13" t="n">
        <x:v>0</x:v>
      </x:c>
      <x:c r="J359" s="13" t="n">
        <x:v>0</x:v>
      </x:c>
      <x:c r="K359" s="13" t="n">
        <x:v>0</x:v>
      </x:c>
      <x:c r="L359" s="14" t="n">
        <x:f>G359-F359-SUM(H359:K359)</x:f>
        <x:v>0</x:v>
      </x:c>
    </x:row>
    <x:row r="360" ht="19" customHeight="1">
      <x:c r="A360" s="1" t="str">
        <x:v>expansion</x:v>
      </x:c>
      <x:c r="B360" s="1" t="str">
        <x:v>willow</x:v>
      </x:c>
      <x:c r="C360" s="12" t="n">
        <x:v>2030</x:v>
      </x:c>
      <x:c r="D360" s="1" t="str">
        <x:v>synthetic_outturn</x:v>
      </x:c>
      <x:c r="E360" s="1" t="str">
        <x:v>net_income_usd</x:v>
      </x:c>
      <x:c r="F360" s="13" t="n">
        <x:v>-4082490.6408</x:v>
      </x:c>
      <x:c r="G360" s="13" t="n">
        <x:v>-4082490.6408</x:v>
      </x:c>
      <x:c r="H360" s="13" t="n">
        <x:v>0</x:v>
      </x:c>
      <x:c r="I360" s="13" t="n">
        <x:v>0</x:v>
      </x:c>
      <x:c r="J360" s="13" t="n">
        <x:v>0</x:v>
      </x:c>
      <x:c r="K360" s="13" t="n">
        <x:v>0</x:v>
      </x:c>
      <x:c r="L360" s="14" t="n">
        <x:f>G360-F360-SUM(H360:K360)</x:f>
        <x:v>0</x:v>
      </x:c>
    </x:row>
    <x:row r="361" ht="19" customHeight="1">
      <x:c r="A361" s="1" t="str">
        <x:v>expansion</x:v>
      </x:c>
      <x:c r="B361" s="1" t="str">
        <x:v>willow</x:v>
      </x:c>
      <x:c r="C361" s="12" t="n">
        <x:v>2030</x:v>
      </x:c>
      <x:c r="D361" s="1" t="str">
        <x:v>synthetic_outturn</x:v>
      </x:c>
      <x:c r="E361" s="1" t="str">
        <x:v>revenue_usd</x:v>
      </x:c>
      <x:c r="F361" s="13" t="n">
        <x:v>0</x:v>
      </x:c>
      <x:c r="G361" s="13" t="n">
        <x:v>0</x:v>
      </x:c>
      <x:c r="H361" s="13" t="n">
        <x:v>0</x:v>
      </x:c>
      <x:c r="I361" s="13" t="n">
        <x:v>0</x:v>
      </x:c>
      <x:c r="J361" s="13" t="n">
        <x:v>0</x:v>
      </x:c>
      <x:c r="K361" s="13" t="n">
        <x:v>0</x:v>
      </x:c>
      <x:c r="L361" s="14" t="n">
        <x:f>G361-F361-SUM(H361:K361)</x:f>
        <x:v>0</x:v>
      </x:c>
    </x:row>
    <x:row r="362" ht="19" customHeight="1">
      <x:c r="A362" s="1" t="str">
        <x:v>expansion</x:v>
      </x:c>
      <x:c r="B362" s="1" t="str">
        <x:v>willow</x:v>
      </x:c>
      <x:c r="C362" s="12" t="n">
        <x:v>2031</x:v>
      </x:c>
      <x:c r="D362" s="1" t="str">
        <x:v>revised</x:v>
      </x:c>
      <x:c r="E362" s="1" t="str">
        <x:v>net_income_usd</x:v>
      </x:c>
      <x:c r="F362" s="13" t="n">
        <x:v>-4240637.3516</x:v>
      </x:c>
      <x:c r="G362" s="13" t="n">
        <x:v>-4240637.3516</x:v>
      </x:c>
      <x:c r="H362" s="13" t="n">
        <x:v>0</x:v>
      </x:c>
      <x:c r="I362" s="13" t="n">
        <x:v>0</x:v>
      </x:c>
      <x:c r="J362" s="13" t="n">
        <x:v>0</x:v>
      </x:c>
      <x:c r="K362" s="13" t="n">
        <x:v>0</x:v>
      </x:c>
      <x:c r="L362" s="14" t="n">
        <x:f>G362-F362-SUM(H362:K362)</x:f>
        <x:v>0</x:v>
      </x:c>
    </x:row>
    <x:row r="363" ht="19" customHeight="1">
      <x:c r="A363" s="1" t="str">
        <x:v>expansion</x:v>
      </x:c>
      <x:c r="B363" s="1" t="str">
        <x:v>willow</x:v>
      </x:c>
      <x:c r="C363" s="12" t="n">
        <x:v>2031</x:v>
      </x:c>
      <x:c r="D363" s="1" t="str">
        <x:v>revised</x:v>
      </x:c>
      <x:c r="E363" s="1" t="str">
        <x:v>revenue_usd</x:v>
      </x:c>
      <x:c r="F363" s="13" t="n">
        <x:v>0</x:v>
      </x:c>
      <x:c r="G363" s="13" t="n">
        <x:v>0</x:v>
      </x:c>
      <x:c r="H363" s="13" t="n">
        <x:v>0</x:v>
      </x:c>
      <x:c r="I363" s="13" t="n">
        <x:v>0</x:v>
      </x:c>
      <x:c r="J363" s="13" t="n">
        <x:v>0</x:v>
      </x:c>
      <x:c r="K363" s="13" t="n">
        <x:v>0</x:v>
      </x:c>
      <x:c r="L363" s="14" t="n">
        <x:f>G363-F363-SUM(H363:K363)</x:f>
        <x:v>0</x:v>
      </x:c>
    </x:row>
    <x:row r="364" ht="19" customHeight="1">
      <x:c r="A364" s="1" t="str">
        <x:v>expansion</x:v>
      </x:c>
      <x:c r="B364" s="1" t="str">
        <x:v>willow</x:v>
      </x:c>
      <x:c r="C364" s="12" t="n">
        <x:v>2031</x:v>
      </x:c>
      <x:c r="D364" s="1" t="str">
        <x:v>synthetic_outturn</x:v>
      </x:c>
      <x:c r="E364" s="1" t="str">
        <x:v>net_income_usd</x:v>
      </x:c>
      <x:c r="F364" s="13" t="n">
        <x:v>-4240637.3516</x:v>
      </x:c>
      <x:c r="G364" s="13" t="n">
        <x:v>-4240637.3516</x:v>
      </x:c>
      <x:c r="H364" s="13" t="n">
        <x:v>0</x:v>
      </x:c>
      <x:c r="I364" s="13" t="n">
        <x:v>0</x:v>
      </x:c>
      <x:c r="J364" s="13" t="n">
        <x:v>0</x:v>
      </x:c>
      <x:c r="K364" s="13" t="n">
        <x:v>0</x:v>
      </x:c>
      <x:c r="L364" s="14" t="n">
        <x:f>G364-F364-SUM(H364:K364)</x:f>
        <x:v>0</x:v>
      </x:c>
    </x:row>
    <x:row r="365" ht="19" customHeight="1">
      <x:c r="A365" s="1" t="str">
        <x:v>expansion</x:v>
      </x:c>
      <x:c r="B365" s="1" t="str">
        <x:v>willow</x:v>
      </x:c>
      <x:c r="C365" s="12" t="n">
        <x:v>2031</x:v>
      </x:c>
      <x:c r="D365" s="1" t="str">
        <x:v>synthetic_outturn</x:v>
      </x:c>
      <x:c r="E365" s="1" t="str">
        <x:v>revenue_usd</x:v>
      </x:c>
      <x:c r="F365" s="13" t="n">
        <x:v>0</x:v>
      </x:c>
      <x:c r="G365" s="13" t="n">
        <x:v>0</x:v>
      </x:c>
      <x:c r="H365" s="13" t="n">
        <x:v>0</x:v>
      </x:c>
      <x:c r="I365" s="13" t="n">
        <x:v>0</x:v>
      </x:c>
      <x:c r="J365" s="13" t="n">
        <x:v>0</x:v>
      </x:c>
      <x:c r="K365" s="13" t="n">
        <x:v>0</x:v>
      </x:c>
      <x:c r="L365" s="14" t="n">
        <x:f>G365-F365-SUM(H365:K365)</x:f>
        <x:v>0</x:v>
      </x:c>
    </x:row>
  </x:sheetData>
  <x:conditionalFormatting sqref="L6:L365">
    <x:cfRule type="expression" dxfId="4" priority="1">
      <x:formula>ABS(L6)&gt;0.0001</x:formula>
    </x:cfRule>
  </x:conditionalFormatting>
  <x:pageMargins left="0.7" right="0.7" top="0.75" bottom="0.75" header="0.3" footer="0.3"/>
</x:worksheet>
</file>