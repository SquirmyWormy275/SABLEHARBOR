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pacity" sheetId="2" r:id="rId2"/>
    <sheet name="Cash requests" sheetId="3" r:id="rId3"/>
    <sheet name="Investment" sheetId="4" r:id="rId4"/>
    <sheet name="Workforce" sheetId="5" r:id="rId5"/>
    <sheet name="Phases" sheetId="6" r:id="rId6"/>
    <sheet name="Enterprise" sheetId="7" r:id="rId7"/>
  </sheets>
  <definedNames>
    <definedName name="_xlnm._FilterDatabase" localSheetId="1" hidden="1">Capacity!$A$5:$L$29</definedName>
    <definedName name="_xlnm._FilterDatabase" localSheetId="2" hidden="1">'Cash requests'!$A$5:$J$49</definedName>
    <definedName name="_xlnm._FilterDatabase" localSheetId="6" hidden="1">Enterprise!$A$5:$G$23</definedName>
    <definedName name="_xlnm._FilterDatabase" localSheetId="3" hidden="1">Investment!$A$5:$H$49</definedName>
    <definedName name="_xlnm._FilterDatabase" localSheetId="5" hidden="1">Phases!$A$5:$G$15</definedName>
    <definedName name="_xlnm._FilterDatabase" localSheetId="4" hidden="1">Workforce!$A$5:$E$15</definedName>
    <definedName name="_xlnm.Print_Area" localSheetId="1">Capacity!$A$1:$M$29</definedName>
    <definedName name="_xlnm.Print_Area" localSheetId="2">'Cash requests'!$A$1:$K$49</definedName>
    <definedName name="_xlnm.Print_Area" localSheetId="6">Enterprise!$A$1:$H$23</definedName>
    <definedName name="_xlnm.Print_Area" localSheetId="3">Investment!$A$1:$I$49</definedName>
    <definedName name="_xlnm.Print_Area" localSheetId="5">Phases!$A$1:$H$15</definedName>
    <definedName name="_xlnm.Print_Area" localSheetId="0">Summary!$A$1:$D$22</definedName>
    <definedName name="_xlnm.Print_Area" localSheetId="4">Workforce!$A$1:$F$15</definedName>
    <definedName name="_xlnm.Print_Titles" localSheetId="1">Capacity!$1:$5</definedName>
    <definedName name="_xlnm.Print_Titles" localSheetId="2">'Cash requests'!$1:$5</definedName>
    <definedName name="_xlnm.Print_Titles" localSheetId="6">Enterprise!$1:$5</definedName>
    <definedName name="_xlnm.Print_Titles" localSheetId="3">Investment!$1:$5</definedName>
    <definedName name="_xlnm.Print_Titles" localSheetId="5">Phases!$1:$5</definedName>
    <definedName name="_xlnm.Print_Titles" localSheetId="4">Workforce!$1:$5</definedName>
  </definedNames>
  <calcPr calcId="124519" fullCalcOnLoad="1"/>
</workbook>
</file>

<file path=xl/sharedStrings.xml><?xml version="1.0" encoding="utf-8"?>
<sst xmlns="http://schemas.openxmlformats.org/spreadsheetml/2006/main" count="294" uniqueCount="122">
  <si>
    <t>Runtime estate design review</t>
  </si>
  <si>
    <t>SYNTHETIC / UNFUNDED / PROCUREMENT PENDING. Construction: land acquired, 0% vertical, 0 kW commissioned.</t>
  </si>
  <si>
    <t>Scenario</t>
  </si>
  <si>
    <t>base</t>
  </si>
  <si>
    <t>Year</t>
  </si>
  <si>
    <t>Gross cash request</t>
  </si>
  <si>
    <t>Land within Phase I</t>
  </si>
  <si>
    <t>Phase I inclusive of land</t>
  </si>
  <si>
    <t>Unspent contingency</t>
  </si>
  <si>
    <t>Proposed technical FTE</t>
  </si>
  <si>
    <t>Settlement of the synthetic land acquisition is unresolved. Enterprise forecast payment requests are subject to existing Treasury limits; workbook cash requirements are not proof of financing, contracts, occupied personnel or payments.</t>
  </si>
  <si>
    <t>Workbook tooling: local XlsxWriter successor; existing Artifact Tool operations workbook and source locks preserved. Formulas and caches independently verified. See identity and review manifest.</t>
  </si>
  <si>
    <t>Capacity — synthetic design / conditional forecast</t>
  </si>
  <si>
    <t>No real operational evidence. Unknown funding/settlement remains explicit. Source identity b025486ae365b333d889</t>
  </si>
  <si>
    <t>scenario</t>
  </si>
  <si>
    <t>year</t>
  </si>
  <si>
    <t>site</t>
  </si>
  <si>
    <t>cpu hosts</t>
  </si>
  <si>
    <t>gpu systems</t>
  </si>
  <si>
    <t>storage shelves</t>
  </si>
  <si>
    <t>racks</t>
  </si>
  <si>
    <t>peak kw</t>
  </si>
  <si>
    <t>typical synthetic kw</t>
  </si>
  <si>
    <t>equipment cost</t>
  </si>
  <si>
    <t>durable tib</t>
  </si>
  <si>
    <t>full network restore hours</t>
  </si>
  <si>
    <t>Check</t>
  </si>
  <si>
    <t>RENO</t>
  </si>
  <si>
    <t>BOISE</t>
  </si>
  <si>
    <t>slower_adoption</t>
  </si>
  <si>
    <t>high_demand</t>
  </si>
  <si>
    <t>delayed_build</t>
  </si>
  <si>
    <t>Cash requests — synthetic design / conditional forecast</t>
  </si>
  <si>
    <t>facility cash request</t>
  </si>
  <si>
    <t>hardware cash request</t>
  </si>
  <si>
    <t>operating cash request</t>
  </si>
  <si>
    <t>terminal cash</t>
  </si>
  <si>
    <t>gross cash request</t>
  </si>
  <si>
    <t>net cash request</t>
  </si>
  <si>
    <t>discounted net cash</t>
  </si>
  <si>
    <t>funding gap</t>
  </si>
  <si>
    <t>Investment — synthetic design / conditional forecast</t>
  </si>
  <si>
    <t>colo cash</t>
  </si>
  <si>
    <t>owned cash before sale</t>
  </si>
  <si>
    <t>terminal sale</t>
  </si>
  <si>
    <t>owned cash after sale</t>
  </si>
  <si>
    <t>incremental discounted cost</t>
  </si>
  <si>
    <t>migration assumption</t>
  </si>
  <si>
    <t>Workforce — synthetic design / conditional forecast</t>
  </si>
  <si>
    <t>id</t>
  </si>
  <si>
    <t>owner</t>
  </si>
  <si>
    <t>required fte</t>
  </si>
  <si>
    <t>annual loaded cost</t>
  </si>
  <si>
    <t>allocated fraction</t>
  </si>
  <si>
    <t>RT-ROLE-PLATFORM</t>
  </si>
  <si>
    <t>TEAM-platform</t>
  </si>
  <si>
    <t>RT-ROLE-NETWORK</t>
  </si>
  <si>
    <t>TEAM-network</t>
  </si>
  <si>
    <t>RT-ROLE-STORAGE_DATABASE</t>
  </si>
  <si>
    <t>TEAM-data</t>
  </si>
  <si>
    <t>RT-ROLE-RELIABILITY_RECOVERY</t>
  </si>
  <si>
    <t>TEAM-reliability</t>
  </si>
  <si>
    <t>RT-ROLE-DEVELOPER_PLATFORM</t>
  </si>
  <si>
    <t>TEAM-developer</t>
  </si>
  <si>
    <t>RT-ROLE-IDENTITY_ENDPOINTS</t>
  </si>
  <si>
    <t>TEAM-identity</t>
  </si>
  <si>
    <t>RT-ROLE-SECURITY_OPERATIONS</t>
  </si>
  <si>
    <t>TEAM-security</t>
  </si>
  <si>
    <t>RT-ROLE-KEYS</t>
  </si>
  <si>
    <t>TEAM-keys</t>
  </si>
  <si>
    <t>RT-ROLE-AI_OPERATIONS</t>
  </si>
  <si>
    <t>TEAM-ai</t>
  </si>
  <si>
    <t>RT-ROLE-VENDOR_COORDINATION</t>
  </si>
  <si>
    <t>TEAM-vendor</t>
  </si>
  <si>
    <t>Phases — synthetic design / conditional forecast</t>
  </si>
  <si>
    <t>start</t>
  </si>
  <si>
    <t>end</t>
  </si>
  <si>
    <t>cost</t>
  </si>
  <si>
    <t>authorization state</t>
  </si>
  <si>
    <t>actual completion</t>
  </si>
  <si>
    <t>paid</t>
  </si>
  <si>
    <t>RT-LAND</t>
  </si>
  <si>
    <t>2026-09-04</t>
  </si>
  <si>
    <t>SYNTHETIC_ACQUIRED_SETTLEMENT_UNRESOLVED</t>
  </si>
  <si>
    <t>RT-STUDIES</t>
  </si>
  <si>
    <t>2026-09-05</t>
  </si>
  <si>
    <t>2026-10-31</t>
  </si>
  <si>
    <t>AUTHORIZED_SCOPE_NO_INVOICE</t>
  </si>
  <si>
    <t>RT-CONCEPT</t>
  </si>
  <si>
    <t>2026-09-15</t>
  </si>
  <si>
    <t>2026-12-15</t>
  </si>
  <si>
    <t>AUTHORIZED_FUTURE_SCOPE</t>
  </si>
  <si>
    <t>RT-DESIGN</t>
  </si>
  <si>
    <t>2026-11-01</t>
  </si>
  <si>
    <t>2027-03-31</t>
  </si>
  <si>
    <t>FORECAST</t>
  </si>
  <si>
    <t>RT-CIVIL</t>
  </si>
  <si>
    <t>2027-04-01</t>
  </si>
  <si>
    <t>2027-06-30</t>
  </si>
  <si>
    <t>RT-SHELL</t>
  </si>
  <si>
    <t>2027-07-01</t>
  </si>
  <si>
    <t>2028-02-29</t>
  </si>
  <si>
    <t>RT-UTILITY</t>
  </si>
  <si>
    <t>RT-PLANT</t>
  </si>
  <si>
    <t>2028-01-01</t>
  </si>
  <si>
    <t>2028-09-30</t>
  </si>
  <si>
    <t>CONDITIONAL_DEMAND_FUNDING</t>
  </si>
  <si>
    <t>RT-COMMISSION</t>
  </si>
  <si>
    <t>2028-10-01</t>
  </si>
  <si>
    <t>2028-12-31</t>
  </si>
  <si>
    <t>CONDITIONAL_ACCEPTANCE</t>
  </si>
  <si>
    <t>RT-CONTINGENCY</t>
  </si>
  <si>
    <t>2026-09-11</t>
  </si>
  <si>
    <t>UNSPENT_RESERVE</t>
  </si>
  <si>
    <t>Enterprise — synthetic design / conditional forecast</t>
  </si>
  <si>
    <t>assets usd</t>
  </si>
  <si>
    <t>liabilities usd</t>
  </si>
  <si>
    <t>equity usd</t>
  </si>
  <si>
    <t>net income usd</t>
  </si>
  <si>
    <t>ending cash usd</t>
  </si>
  <si>
    <t>downside</t>
  </si>
  <si>
    <t>expansion</t>
  </si>
</sst>
</file>

<file path=xl/styles.xml><?xml version="1.0" encoding="utf-8"?>
<styleSheet xmlns="http://schemas.openxmlformats.org/spreadsheetml/2006/main">
  <numFmts count="1">
    <numFmt numFmtId="164" formatCode="#,##0.00;[Red](#,##0.00)"/>
  </numFmts>
  <fonts count="6">
    <font>
      <sz val="11"/>
      <color theme="1"/>
      <name val="Calibri"/>
      <family val="2"/>
      <scheme val="minor"/>
    </font>
    <font>
      <b/>
      <sz val="18"/>
      <color rgb="FF173247"/>
      <name val="Arial"/>
      <family val="2"/>
    </font>
    <font>
      <sz val="9"/>
      <color rgb="FF555555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2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164" fontId="5" fillId="0" borderId="0" xfId="0" applyNumberFormat="1" applyFont="1"/>
    <xf numFmtId="1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tabSelected="1" workbookViewId="0"/>
  </sheetViews>
  <sheetFormatPr defaultRowHeight="15"/>
  <cols>
    <col min="1" max="1" width="36.7109375" customWidth="1"/>
    <col min="2" max="4" width="23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2"/>
      <c r="B3" s="2"/>
      <c r="C3" s="2"/>
      <c r="D3" s="2"/>
    </row>
    <row r="5" spans="1:4">
      <c r="A5" s="3" t="s">
        <v>2</v>
      </c>
      <c r="B5" t="s">
        <v>3</v>
      </c>
    </row>
    <row r="6" spans="1:4">
      <c r="A6" s="3" t="s">
        <v>4</v>
      </c>
      <c r="B6">
        <v>2027</v>
      </c>
    </row>
    <row r="8" spans="1:4">
      <c r="A8" s="4" t="s">
        <v>5</v>
      </c>
      <c r="B8" s="5">
        <f>SUMIFS('Cash requests'!G6:G49,'Cash requests'!A6:A49,B5,'Cash requests'!B6:B49,B6)</f>
        <v>13556710.0</v>
      </c>
    </row>
    <row r="9" spans="1:4">
      <c r="A9" s="4" t="s">
        <v>6</v>
      </c>
      <c r="B9" s="5">
        <v>3000000</v>
      </c>
    </row>
    <row r="10" spans="1:4">
      <c r="A10" s="4" t="s">
        <v>7</v>
      </c>
      <c r="B10" s="5">
        <v>15500000</v>
      </c>
    </row>
    <row r="11" spans="1:4">
      <c r="A11" s="4" t="s">
        <v>8</v>
      </c>
      <c r="B11" s="5">
        <v>500000</v>
      </c>
    </row>
    <row r="12" spans="1:4">
      <c r="A12" s="4" t="s">
        <v>9</v>
      </c>
      <c r="B12" s="5">
        <v>20</v>
      </c>
    </row>
    <row r="15" spans="1:4">
      <c r="A15" s="2" t="s">
        <v>10</v>
      </c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9" spans="1:4">
      <c r="A19" s="2" t="s">
        <v>11</v>
      </c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</sheetData>
  <mergeCells count="4">
    <mergeCell ref="A1:D1"/>
    <mergeCell ref="A2:D3"/>
    <mergeCell ref="A15:D17"/>
    <mergeCell ref="A19:D21"/>
  </mergeCells>
  <dataValidations count="2">
    <dataValidation type="list" allowBlank="1" showInputMessage="1" showErrorMessage="1" sqref="B5">
      <formula1>"base,slower_adoption,high_demand,delayed_build"</formula1>
    </dataValidation>
    <dataValidation type="whole" allowBlank="1" showInputMessage="1" showErrorMessage="1" sqref="B6">
      <formula1>2026</formula1>
      <formula2>2036</formula2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13" width="17.7109375" customWidth="1"/>
  </cols>
  <sheetData>
    <row r="1" spans="1:13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5" customHeight="1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1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3" ht="36" customHeight="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 ht="28" customHeight="1">
      <c r="A6" s="4" t="s">
        <v>3</v>
      </c>
      <c r="B6" s="6">
        <v>2027</v>
      </c>
      <c r="C6" s="4" t="s">
        <v>27</v>
      </c>
      <c r="D6" s="6">
        <v>3</v>
      </c>
      <c r="E6" s="6">
        <v>11</v>
      </c>
      <c r="F6" s="6">
        <v>5</v>
      </c>
      <c r="G6" s="6">
        <v>11</v>
      </c>
      <c r="H6" s="5">
        <v>96.40000000000001</v>
      </c>
      <c r="I6" s="5">
        <v>60.05</v>
      </c>
      <c r="J6" s="5">
        <v>3452000</v>
      </c>
      <c r="K6" s="5">
        <v>150</v>
      </c>
      <c r="L6" s="5">
        <v>43.98</v>
      </c>
      <c r="M6" s="5">
        <f>ROUND(MAX(0,I6-H6),2)</f>
        <v>0.0</v>
      </c>
    </row>
    <row r="7" spans="1:13" ht="28" customHeight="1">
      <c r="A7" s="4" t="s">
        <v>3</v>
      </c>
      <c r="B7" s="6">
        <v>2027</v>
      </c>
      <c r="C7" s="4" t="s">
        <v>28</v>
      </c>
      <c r="D7" s="6">
        <v>2</v>
      </c>
      <c r="E7" s="6">
        <v>2</v>
      </c>
      <c r="F7" s="6">
        <v>5</v>
      </c>
      <c r="G7" s="6">
        <v>3</v>
      </c>
      <c r="H7" s="5">
        <v>23.6</v>
      </c>
      <c r="I7" s="5">
        <v>14.6</v>
      </c>
      <c r="J7" s="5">
        <v>908000</v>
      </c>
      <c r="K7" s="5">
        <v>150</v>
      </c>
      <c r="L7" s="5">
        <v>43.98</v>
      </c>
      <c r="M7" s="5">
        <f>ROUND(MAX(0,I7-H7),2)</f>
        <v>0.0</v>
      </c>
    </row>
    <row r="8" spans="1:13" ht="28" customHeight="1">
      <c r="A8" s="4" t="s">
        <v>3</v>
      </c>
      <c r="B8" s="6">
        <v>2031</v>
      </c>
      <c r="C8" s="4" t="s">
        <v>27</v>
      </c>
      <c r="D8" s="6">
        <v>4</v>
      </c>
      <c r="E8" s="6">
        <v>15</v>
      </c>
      <c r="F8" s="6">
        <v>9</v>
      </c>
      <c r="G8" s="6">
        <v>15</v>
      </c>
      <c r="H8" s="5">
        <v>132.4</v>
      </c>
      <c r="I8" s="5">
        <v>82.5</v>
      </c>
      <c r="J8" s="5">
        <v>4756000</v>
      </c>
      <c r="K8" s="5">
        <v>311.04</v>
      </c>
      <c r="L8" s="5">
        <v>91.2</v>
      </c>
      <c r="M8" s="5">
        <f>ROUND(MAX(0,I8-H8),2)</f>
        <v>0.0</v>
      </c>
    </row>
    <row r="9" spans="1:13" ht="28" customHeight="1">
      <c r="A9" s="4" t="s">
        <v>3</v>
      </c>
      <c r="B9" s="6">
        <v>2031</v>
      </c>
      <c r="C9" s="4" t="s">
        <v>28</v>
      </c>
      <c r="D9" s="6">
        <v>2</v>
      </c>
      <c r="E9" s="6">
        <v>3</v>
      </c>
      <c r="F9" s="6">
        <v>9</v>
      </c>
      <c r="G9" s="6">
        <v>4</v>
      </c>
      <c r="H9" s="5">
        <v>34.8</v>
      </c>
      <c r="I9" s="5">
        <v>21.6</v>
      </c>
      <c r="J9" s="5">
        <v>1348000</v>
      </c>
      <c r="K9" s="5">
        <v>311.04</v>
      </c>
      <c r="L9" s="5">
        <v>91.2</v>
      </c>
      <c r="M9" s="5">
        <f>ROUND(MAX(0,I9-H9),2)</f>
        <v>0.0</v>
      </c>
    </row>
    <row r="10" spans="1:13" ht="28" customHeight="1">
      <c r="A10" s="4" t="s">
        <v>3</v>
      </c>
      <c r="B10" s="6">
        <v>2036</v>
      </c>
      <c r="C10" s="4" t="s">
        <v>27</v>
      </c>
      <c r="D10" s="6">
        <v>5</v>
      </c>
      <c r="E10" s="6">
        <v>22</v>
      </c>
      <c r="F10" s="6">
        <v>17</v>
      </c>
      <c r="G10" s="6">
        <v>22</v>
      </c>
      <c r="H10" s="5">
        <v>195.6</v>
      </c>
      <c r="I10" s="5">
        <v>121.95</v>
      </c>
      <c r="J10" s="5">
        <v>7060000</v>
      </c>
      <c r="K10" s="5">
        <v>773.97</v>
      </c>
      <c r="L10" s="5">
        <v>226.93</v>
      </c>
      <c r="M10" s="5">
        <f>ROUND(MAX(0,I10-H10),2)</f>
        <v>0.0</v>
      </c>
    </row>
    <row r="11" spans="1:13" ht="28" customHeight="1">
      <c r="A11" s="4" t="s">
        <v>3</v>
      </c>
      <c r="B11" s="6">
        <v>2036</v>
      </c>
      <c r="C11" s="4" t="s">
        <v>28</v>
      </c>
      <c r="D11" s="6">
        <v>3</v>
      </c>
      <c r="E11" s="6">
        <v>4</v>
      </c>
      <c r="F11" s="6">
        <v>17</v>
      </c>
      <c r="G11" s="6">
        <v>5</v>
      </c>
      <c r="H11" s="5">
        <v>50</v>
      </c>
      <c r="I11" s="5">
        <v>31.05</v>
      </c>
      <c r="J11" s="5">
        <v>1972000</v>
      </c>
      <c r="K11" s="5">
        <v>773.97</v>
      </c>
      <c r="L11" s="5">
        <v>226.93</v>
      </c>
      <c r="M11" s="5">
        <f>ROUND(MAX(0,I11-H11),2)</f>
        <v>0.0</v>
      </c>
    </row>
    <row r="12" spans="1:13" ht="28" customHeight="1">
      <c r="A12" s="4" t="s">
        <v>29</v>
      </c>
      <c r="B12" s="6">
        <v>2027</v>
      </c>
      <c r="C12" s="4" t="s">
        <v>27</v>
      </c>
      <c r="D12" s="6">
        <v>3</v>
      </c>
      <c r="E12" s="6">
        <v>7</v>
      </c>
      <c r="F12" s="6">
        <v>3</v>
      </c>
      <c r="G12" s="6">
        <v>7</v>
      </c>
      <c r="H12" s="5">
        <v>62.8</v>
      </c>
      <c r="I12" s="5">
        <v>39.05</v>
      </c>
      <c r="J12" s="5">
        <v>2252000</v>
      </c>
      <c r="K12" s="5">
        <v>90</v>
      </c>
      <c r="L12" s="5">
        <v>26.39</v>
      </c>
      <c r="M12" s="5">
        <f>ROUND(MAX(0,I12-H12),2)</f>
        <v>0.0</v>
      </c>
    </row>
    <row r="13" spans="1:13" ht="28" customHeight="1">
      <c r="A13" s="4" t="s">
        <v>29</v>
      </c>
      <c r="B13" s="6">
        <v>2027</v>
      </c>
      <c r="C13" s="4" t="s">
        <v>28</v>
      </c>
      <c r="D13" s="6">
        <v>2</v>
      </c>
      <c r="E13" s="6">
        <v>2</v>
      </c>
      <c r="F13" s="6">
        <v>3</v>
      </c>
      <c r="G13" s="6">
        <v>2</v>
      </c>
      <c r="H13" s="5">
        <v>22</v>
      </c>
      <c r="I13" s="5">
        <v>13.6</v>
      </c>
      <c r="J13" s="5">
        <v>828000</v>
      </c>
      <c r="K13" s="5">
        <v>90</v>
      </c>
      <c r="L13" s="5">
        <v>26.39</v>
      </c>
      <c r="M13" s="5">
        <f>ROUND(MAX(0,I13-H13),2)</f>
        <v>0.0</v>
      </c>
    </row>
    <row r="14" spans="1:13" ht="28" customHeight="1">
      <c r="A14" s="4" t="s">
        <v>29</v>
      </c>
      <c r="B14" s="6">
        <v>2031</v>
      </c>
      <c r="C14" s="4" t="s">
        <v>27</v>
      </c>
      <c r="D14" s="6">
        <v>3</v>
      </c>
      <c r="E14" s="6">
        <v>7</v>
      </c>
      <c r="F14" s="6">
        <v>5</v>
      </c>
      <c r="G14" s="6">
        <v>7</v>
      </c>
      <c r="H14" s="5">
        <v>64.40000000000001</v>
      </c>
      <c r="I14" s="5">
        <v>40.05</v>
      </c>
      <c r="J14" s="5">
        <v>2332000</v>
      </c>
      <c r="K14" s="5">
        <v>186.62</v>
      </c>
      <c r="L14" s="5">
        <v>54.72</v>
      </c>
      <c r="M14" s="5">
        <f>ROUND(MAX(0,I14-H14),2)</f>
        <v>0.0</v>
      </c>
    </row>
    <row r="15" spans="1:13" ht="28" customHeight="1">
      <c r="A15" s="4" t="s">
        <v>29</v>
      </c>
      <c r="B15" s="6">
        <v>2031</v>
      </c>
      <c r="C15" s="4" t="s">
        <v>28</v>
      </c>
      <c r="D15" s="6">
        <v>2</v>
      </c>
      <c r="E15" s="6">
        <v>2</v>
      </c>
      <c r="F15" s="6">
        <v>5</v>
      </c>
      <c r="G15" s="6">
        <v>3</v>
      </c>
      <c r="H15" s="5">
        <v>23.6</v>
      </c>
      <c r="I15" s="5">
        <v>14.6</v>
      </c>
      <c r="J15" s="5">
        <v>908000</v>
      </c>
      <c r="K15" s="5">
        <v>186.62</v>
      </c>
      <c r="L15" s="5">
        <v>54.72</v>
      </c>
      <c r="M15" s="5">
        <f>ROUND(MAX(0,I15-H15),2)</f>
        <v>0.0</v>
      </c>
    </row>
    <row r="16" spans="1:13" ht="28" customHeight="1">
      <c r="A16" s="4" t="s">
        <v>29</v>
      </c>
      <c r="B16" s="6">
        <v>2036</v>
      </c>
      <c r="C16" s="4" t="s">
        <v>27</v>
      </c>
      <c r="D16" s="6">
        <v>3</v>
      </c>
      <c r="E16" s="6">
        <v>6</v>
      </c>
      <c r="F16" s="6">
        <v>11</v>
      </c>
      <c r="G16" s="6">
        <v>6</v>
      </c>
      <c r="H16" s="5">
        <v>61.2</v>
      </c>
      <c r="I16" s="5">
        <v>38.05</v>
      </c>
      <c r="J16" s="5">
        <v>2292000</v>
      </c>
      <c r="K16" s="5">
        <v>464.38</v>
      </c>
      <c r="L16" s="5">
        <v>136.16</v>
      </c>
      <c r="M16" s="5">
        <f>ROUND(MAX(0,I16-H16),2)</f>
        <v>0.0</v>
      </c>
    </row>
    <row r="17" spans="1:13" ht="28" customHeight="1">
      <c r="A17" s="4" t="s">
        <v>29</v>
      </c>
      <c r="B17" s="6">
        <v>2036</v>
      </c>
      <c r="C17" s="4" t="s">
        <v>28</v>
      </c>
      <c r="D17" s="6">
        <v>2</v>
      </c>
      <c r="E17" s="6">
        <v>2</v>
      </c>
      <c r="F17" s="6">
        <v>11</v>
      </c>
      <c r="G17" s="6">
        <v>3</v>
      </c>
      <c r="H17" s="5">
        <v>28.4</v>
      </c>
      <c r="I17" s="5">
        <v>17.6</v>
      </c>
      <c r="J17" s="5">
        <v>1148000</v>
      </c>
      <c r="K17" s="5">
        <v>464.38</v>
      </c>
      <c r="L17" s="5">
        <v>136.16</v>
      </c>
      <c r="M17" s="5">
        <f>ROUND(MAX(0,I17-H17),2)</f>
        <v>0.0</v>
      </c>
    </row>
    <row r="18" spans="1:13" ht="28" customHeight="1">
      <c r="A18" s="4" t="s">
        <v>30</v>
      </c>
      <c r="B18" s="6">
        <v>2027</v>
      </c>
      <c r="C18" s="4" t="s">
        <v>27</v>
      </c>
      <c r="D18" s="6">
        <v>3</v>
      </c>
      <c r="E18" s="6">
        <v>15</v>
      </c>
      <c r="F18" s="6">
        <v>7</v>
      </c>
      <c r="G18" s="6">
        <v>15</v>
      </c>
      <c r="H18" s="5">
        <v>130</v>
      </c>
      <c r="I18" s="5">
        <v>81.05</v>
      </c>
      <c r="J18" s="5">
        <v>4652000</v>
      </c>
      <c r="K18" s="5">
        <v>225</v>
      </c>
      <c r="L18" s="5">
        <v>65.97</v>
      </c>
      <c r="M18" s="5">
        <f>ROUND(MAX(0,I18-H18),2)</f>
        <v>0.0</v>
      </c>
    </row>
    <row r="19" spans="1:13" ht="28" customHeight="1">
      <c r="A19" s="4" t="s">
        <v>30</v>
      </c>
      <c r="B19" s="6">
        <v>2027</v>
      </c>
      <c r="C19" s="4" t="s">
        <v>28</v>
      </c>
      <c r="D19" s="6">
        <v>2</v>
      </c>
      <c r="E19" s="6">
        <v>3</v>
      </c>
      <c r="F19" s="6">
        <v>7</v>
      </c>
      <c r="G19" s="6">
        <v>3</v>
      </c>
      <c r="H19" s="5">
        <v>33.2</v>
      </c>
      <c r="I19" s="5">
        <v>20.6</v>
      </c>
      <c r="J19" s="5">
        <v>1268000</v>
      </c>
      <c r="K19" s="5">
        <v>225</v>
      </c>
      <c r="L19" s="5">
        <v>65.97</v>
      </c>
      <c r="M19" s="5">
        <f>ROUND(MAX(0,I19-H19),2)</f>
        <v>0.0</v>
      </c>
    </row>
    <row r="20" spans="1:13" ht="28" customHeight="1">
      <c r="A20" s="4" t="s">
        <v>30</v>
      </c>
      <c r="B20" s="6">
        <v>2031</v>
      </c>
      <c r="C20" s="4" t="s">
        <v>27</v>
      </c>
      <c r="D20" s="6">
        <v>4</v>
      </c>
      <c r="E20" s="6">
        <v>36</v>
      </c>
      <c r="F20" s="6">
        <v>11</v>
      </c>
      <c r="G20" s="6">
        <v>36</v>
      </c>
      <c r="H20" s="5">
        <v>302</v>
      </c>
      <c r="I20" s="5">
        <v>188.5</v>
      </c>
      <c r="J20" s="5">
        <v>10716000</v>
      </c>
      <c r="K20" s="5">
        <v>466.56</v>
      </c>
      <c r="L20" s="5">
        <v>136.8</v>
      </c>
      <c r="M20" s="5">
        <f>ROUND(MAX(0,I20-H20),2)</f>
        <v>0.0</v>
      </c>
    </row>
    <row r="21" spans="1:13" ht="28" customHeight="1">
      <c r="A21" s="4" t="s">
        <v>30</v>
      </c>
      <c r="B21" s="6">
        <v>2031</v>
      </c>
      <c r="C21" s="4" t="s">
        <v>28</v>
      </c>
      <c r="D21" s="6">
        <v>3</v>
      </c>
      <c r="E21" s="6">
        <v>5</v>
      </c>
      <c r="F21" s="6">
        <v>11</v>
      </c>
      <c r="G21" s="6">
        <v>5</v>
      </c>
      <c r="H21" s="5">
        <v>53.2</v>
      </c>
      <c r="I21" s="5">
        <v>33.05</v>
      </c>
      <c r="J21" s="5">
        <v>2012000</v>
      </c>
      <c r="K21" s="5">
        <v>466.56</v>
      </c>
      <c r="L21" s="5">
        <v>136.8</v>
      </c>
      <c r="M21" s="5">
        <f>ROUND(MAX(0,I21-H21),2)</f>
        <v>0.0</v>
      </c>
    </row>
    <row r="22" spans="1:13" ht="28" customHeight="1">
      <c r="A22" s="4" t="s">
        <v>30</v>
      </c>
      <c r="B22" s="6">
        <v>2036</v>
      </c>
      <c r="C22" s="4" t="s">
        <v>27</v>
      </c>
      <c r="D22" s="6">
        <v>9</v>
      </c>
      <c r="E22" s="6">
        <v>105</v>
      </c>
      <c r="F22" s="6">
        <v>25</v>
      </c>
      <c r="G22" s="6">
        <v>105</v>
      </c>
      <c r="H22" s="5">
        <v>869.2</v>
      </c>
      <c r="I22" s="5">
        <v>542.75</v>
      </c>
      <c r="J22" s="5">
        <v>30716000</v>
      </c>
      <c r="K22" s="5">
        <v>1160.95</v>
      </c>
      <c r="L22" s="5">
        <v>340.39</v>
      </c>
      <c r="M22" s="5">
        <f>ROUND(MAX(0,I22-H22),2)</f>
        <v>0.0</v>
      </c>
    </row>
    <row r="23" spans="1:13" ht="28" customHeight="1">
      <c r="A23" s="4" t="s">
        <v>30</v>
      </c>
      <c r="B23" s="6">
        <v>2036</v>
      </c>
      <c r="C23" s="4" t="s">
        <v>28</v>
      </c>
      <c r="D23" s="6">
        <v>4</v>
      </c>
      <c r="E23" s="6">
        <v>12</v>
      </c>
      <c r="F23" s="6">
        <v>25</v>
      </c>
      <c r="G23" s="6">
        <v>12</v>
      </c>
      <c r="H23" s="5">
        <v>121.2</v>
      </c>
      <c r="I23" s="5">
        <v>75.5</v>
      </c>
      <c r="J23" s="5">
        <v>4556000</v>
      </c>
      <c r="K23" s="5">
        <v>1160.95</v>
      </c>
      <c r="L23" s="5">
        <v>340.39</v>
      </c>
      <c r="M23" s="5">
        <f>ROUND(MAX(0,I23-H23),2)</f>
        <v>0.0</v>
      </c>
    </row>
    <row r="24" spans="1:13" ht="28" customHeight="1">
      <c r="A24" s="4" t="s">
        <v>31</v>
      </c>
      <c r="B24" s="6">
        <v>2027</v>
      </c>
      <c r="C24" s="4" t="s">
        <v>27</v>
      </c>
      <c r="D24" s="6">
        <v>3</v>
      </c>
      <c r="E24" s="6">
        <v>11</v>
      </c>
      <c r="F24" s="6">
        <v>5</v>
      </c>
      <c r="G24" s="6">
        <v>11</v>
      </c>
      <c r="H24" s="5">
        <v>96.40000000000001</v>
      </c>
      <c r="I24" s="5">
        <v>60.05</v>
      </c>
      <c r="J24" s="5">
        <v>3452000</v>
      </c>
      <c r="K24" s="5">
        <v>150</v>
      </c>
      <c r="L24" s="5">
        <v>43.98</v>
      </c>
      <c r="M24" s="5">
        <f>ROUND(MAX(0,I24-H24),2)</f>
        <v>0.0</v>
      </c>
    </row>
    <row r="25" spans="1:13" ht="28" customHeight="1">
      <c r="A25" s="4" t="s">
        <v>31</v>
      </c>
      <c r="B25" s="6">
        <v>2027</v>
      </c>
      <c r="C25" s="4" t="s">
        <v>28</v>
      </c>
      <c r="D25" s="6">
        <v>2</v>
      </c>
      <c r="E25" s="6">
        <v>2</v>
      </c>
      <c r="F25" s="6">
        <v>5</v>
      </c>
      <c r="G25" s="6">
        <v>3</v>
      </c>
      <c r="H25" s="5">
        <v>23.6</v>
      </c>
      <c r="I25" s="5">
        <v>14.6</v>
      </c>
      <c r="J25" s="5">
        <v>908000</v>
      </c>
      <c r="K25" s="5">
        <v>150</v>
      </c>
      <c r="L25" s="5">
        <v>43.98</v>
      </c>
      <c r="M25" s="5">
        <f>ROUND(MAX(0,I25-H25),2)</f>
        <v>0.0</v>
      </c>
    </row>
    <row r="26" spans="1:13" ht="28" customHeight="1">
      <c r="A26" s="4" t="s">
        <v>31</v>
      </c>
      <c r="B26" s="6">
        <v>2031</v>
      </c>
      <c r="C26" s="4" t="s">
        <v>27</v>
      </c>
      <c r="D26" s="6">
        <v>4</v>
      </c>
      <c r="E26" s="6">
        <v>15</v>
      </c>
      <c r="F26" s="6">
        <v>9</v>
      </c>
      <c r="G26" s="6">
        <v>15</v>
      </c>
      <c r="H26" s="5">
        <v>132.4</v>
      </c>
      <c r="I26" s="5">
        <v>82.5</v>
      </c>
      <c r="J26" s="5">
        <v>4756000</v>
      </c>
      <c r="K26" s="5">
        <v>311.04</v>
      </c>
      <c r="L26" s="5">
        <v>91.2</v>
      </c>
      <c r="M26" s="5">
        <f>ROUND(MAX(0,I26-H26),2)</f>
        <v>0.0</v>
      </c>
    </row>
    <row r="27" spans="1:13" ht="28" customHeight="1">
      <c r="A27" s="4" t="s">
        <v>31</v>
      </c>
      <c r="B27" s="6">
        <v>2031</v>
      </c>
      <c r="C27" s="4" t="s">
        <v>28</v>
      </c>
      <c r="D27" s="6">
        <v>2</v>
      </c>
      <c r="E27" s="6">
        <v>3</v>
      </c>
      <c r="F27" s="6">
        <v>9</v>
      </c>
      <c r="G27" s="6">
        <v>4</v>
      </c>
      <c r="H27" s="5">
        <v>34.8</v>
      </c>
      <c r="I27" s="5">
        <v>21.6</v>
      </c>
      <c r="J27" s="5">
        <v>1348000</v>
      </c>
      <c r="K27" s="5">
        <v>311.04</v>
      </c>
      <c r="L27" s="5">
        <v>91.2</v>
      </c>
      <c r="M27" s="5">
        <f>ROUND(MAX(0,I27-H27),2)</f>
        <v>0.0</v>
      </c>
    </row>
    <row r="28" spans="1:13" ht="28" customHeight="1">
      <c r="A28" s="4" t="s">
        <v>31</v>
      </c>
      <c r="B28" s="6">
        <v>2036</v>
      </c>
      <c r="C28" s="4" t="s">
        <v>27</v>
      </c>
      <c r="D28" s="6">
        <v>5</v>
      </c>
      <c r="E28" s="6">
        <v>22</v>
      </c>
      <c r="F28" s="6">
        <v>17</v>
      </c>
      <c r="G28" s="6">
        <v>22</v>
      </c>
      <c r="H28" s="5">
        <v>195.6</v>
      </c>
      <c r="I28" s="5">
        <v>121.95</v>
      </c>
      <c r="J28" s="5">
        <v>7060000</v>
      </c>
      <c r="K28" s="5">
        <v>773.97</v>
      </c>
      <c r="L28" s="5">
        <v>226.93</v>
      </c>
      <c r="M28" s="5">
        <f>ROUND(MAX(0,I28-H28),2)</f>
        <v>0.0</v>
      </c>
    </row>
    <row r="29" spans="1:13" ht="28" customHeight="1">
      <c r="A29" s="4" t="s">
        <v>31</v>
      </c>
      <c r="B29" s="6">
        <v>2036</v>
      </c>
      <c r="C29" s="4" t="s">
        <v>28</v>
      </c>
      <c r="D29" s="6">
        <v>3</v>
      </c>
      <c r="E29" s="6">
        <v>4</v>
      </c>
      <c r="F29" s="6">
        <v>17</v>
      </c>
      <c r="G29" s="6">
        <v>5</v>
      </c>
      <c r="H29" s="5">
        <v>50</v>
      </c>
      <c r="I29" s="5">
        <v>31.05</v>
      </c>
      <c r="J29" s="5">
        <v>1972000</v>
      </c>
      <c r="K29" s="5">
        <v>773.97</v>
      </c>
      <c r="L29" s="5">
        <v>226.93</v>
      </c>
      <c r="M29" s="5">
        <f>ROUND(MAX(0,I29-H29),2)</f>
        <v>0.0</v>
      </c>
    </row>
  </sheetData>
  <autoFilter ref="A5:L29"/>
  <mergeCells count="2">
    <mergeCell ref="A1:L1"/>
    <mergeCell ref="A2:L3"/>
  </mergeCells>
  <pageMargins left="0.7" right="0.7" top="0.75" bottom="0.75" header="0.3" footer="0.3"/>
  <pageSetup paperSize="8" orientation="landscape"/>
  <headerFooter>
    <oddFooter>&amp;LSource-controlled synthetic design&amp;RPage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11" width="17.7109375" customWidth="1"/>
  </cols>
  <sheetData>
    <row r="1" spans="1:1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1" ht="25" customHeight="1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</row>
    <row r="3" spans="1:11" ht="18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5" spans="1:11" ht="36" customHeight="1">
      <c r="A5" s="3" t="s">
        <v>14</v>
      </c>
      <c r="B5" s="3" t="s">
        <v>15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26</v>
      </c>
    </row>
    <row r="6" spans="1:11" ht="28" customHeight="1">
      <c r="A6" s="4" t="s">
        <v>3</v>
      </c>
      <c r="B6" s="6">
        <v>2026</v>
      </c>
      <c r="C6" s="5">
        <v>3780000</v>
      </c>
      <c r="D6" s="5">
        <v>0</v>
      </c>
      <c r="E6" s="5">
        <v>0</v>
      </c>
      <c r="F6" s="5">
        <v>0</v>
      </c>
      <c r="G6" s="5">
        <v>3780000</v>
      </c>
      <c r="H6" s="5">
        <v>3780000</v>
      </c>
      <c r="I6" s="5">
        <v>3780000</v>
      </c>
      <c r="J6" s="5">
        <v>3780000</v>
      </c>
      <c r="K6" s="5">
        <f>ROUND(G6-C6-D6-E6,2)</f>
        <v>0.0</v>
      </c>
    </row>
    <row r="7" spans="1:11" ht="28" customHeight="1">
      <c r="A7" s="4" t="s">
        <v>3</v>
      </c>
      <c r="B7" s="6">
        <v>2027</v>
      </c>
      <c r="C7" s="5">
        <v>4795000</v>
      </c>
      <c r="D7" s="5">
        <v>4360000</v>
      </c>
      <c r="E7" s="5">
        <v>4401710</v>
      </c>
      <c r="F7" s="5">
        <v>0</v>
      </c>
      <c r="G7" s="5">
        <v>13556710</v>
      </c>
      <c r="H7" s="5">
        <v>13556710</v>
      </c>
      <c r="I7" s="5">
        <v>12324281.82</v>
      </c>
      <c r="J7" s="5">
        <v>13556710</v>
      </c>
      <c r="K7" s="5">
        <f>ROUND(G7-C7-D7-E7,2)</f>
        <v>0.0</v>
      </c>
    </row>
    <row r="8" spans="1:11" ht="28" customHeight="1">
      <c r="A8" s="4" t="s">
        <v>3</v>
      </c>
      <c r="B8" s="6">
        <v>2028</v>
      </c>
      <c r="C8" s="5">
        <v>6425000</v>
      </c>
      <c r="D8" s="5">
        <v>560000</v>
      </c>
      <c r="E8" s="5">
        <v>4668516.2</v>
      </c>
      <c r="F8" s="5">
        <v>0</v>
      </c>
      <c r="G8" s="5">
        <v>11653516.2</v>
      </c>
      <c r="H8" s="5">
        <v>11653516.2</v>
      </c>
      <c r="I8" s="5">
        <v>9631005.119999999</v>
      </c>
      <c r="J8" s="5">
        <v>11653516.2</v>
      </c>
      <c r="K8" s="5">
        <f>ROUND(G8-C8-D8-E8,2)</f>
        <v>-0.0</v>
      </c>
    </row>
    <row r="9" spans="1:11" ht="28" customHeight="1">
      <c r="A9" s="4" t="s">
        <v>3</v>
      </c>
      <c r="B9" s="6">
        <v>2029</v>
      </c>
      <c r="C9" s="5">
        <v>0</v>
      </c>
      <c r="D9" s="5">
        <v>440000</v>
      </c>
      <c r="E9" s="5">
        <v>4822359.14</v>
      </c>
      <c r="F9" s="5">
        <v>0</v>
      </c>
      <c r="G9" s="5">
        <v>5262359.14</v>
      </c>
      <c r="H9" s="5">
        <v>5262359.14</v>
      </c>
      <c r="I9" s="5">
        <v>3953688.31</v>
      </c>
      <c r="J9" s="5">
        <v>5262359.14</v>
      </c>
      <c r="K9" s="5">
        <f>ROUND(G9-C9-D9-E9,2)</f>
        <v>0.0</v>
      </c>
    </row>
    <row r="10" spans="1:11" ht="28" customHeight="1">
      <c r="A10" s="4" t="s">
        <v>3</v>
      </c>
      <c r="B10" s="6">
        <v>2030</v>
      </c>
      <c r="C10" s="5">
        <v>0</v>
      </c>
      <c r="D10" s="5">
        <v>304000</v>
      </c>
      <c r="E10" s="5">
        <v>4979350.63</v>
      </c>
      <c r="F10" s="5">
        <v>0</v>
      </c>
      <c r="G10" s="5">
        <v>5283350.63</v>
      </c>
      <c r="H10" s="5">
        <v>5283350.63</v>
      </c>
      <c r="I10" s="5">
        <v>3608599.57</v>
      </c>
      <c r="J10" s="5">
        <v>5283350.63</v>
      </c>
      <c r="K10" s="5">
        <f>ROUND(G10-C10-D10-E10,2)</f>
        <v>0.0</v>
      </c>
    </row>
    <row r="11" spans="1:11" ht="28" customHeight="1">
      <c r="A11" s="4" t="s">
        <v>3</v>
      </c>
      <c r="B11" s="6">
        <v>2031</v>
      </c>
      <c r="C11" s="5">
        <v>0</v>
      </c>
      <c r="D11" s="5">
        <v>6104000</v>
      </c>
      <c r="E11" s="5">
        <v>5266189.81</v>
      </c>
      <c r="F11" s="5">
        <v>0</v>
      </c>
      <c r="G11" s="5">
        <v>11370189.81</v>
      </c>
      <c r="H11" s="5">
        <v>11370189.81</v>
      </c>
      <c r="I11" s="5">
        <v>7059993.3</v>
      </c>
      <c r="J11" s="5">
        <v>11370189.81</v>
      </c>
      <c r="K11" s="5">
        <f>ROUND(G11-C11-D11-E11,2)</f>
        <v>0.0</v>
      </c>
    </row>
    <row r="12" spans="1:11" ht="28" customHeight="1">
      <c r="A12" s="4" t="s">
        <v>3</v>
      </c>
      <c r="B12" s="6">
        <v>2032</v>
      </c>
      <c r="C12" s="5">
        <v>0</v>
      </c>
      <c r="D12" s="5">
        <v>280000</v>
      </c>
      <c r="E12" s="5">
        <v>5442998.42</v>
      </c>
      <c r="F12" s="5">
        <v>0</v>
      </c>
      <c r="G12" s="5">
        <v>5722998.42</v>
      </c>
      <c r="H12" s="5">
        <v>5722998.42</v>
      </c>
      <c r="I12" s="5">
        <v>3230483.41</v>
      </c>
      <c r="J12" s="5">
        <v>5722998.42</v>
      </c>
      <c r="K12" s="5">
        <f>ROUND(G12-C12-D12-E12,2)</f>
        <v>0.0</v>
      </c>
    </row>
    <row r="13" spans="1:11" ht="28" customHeight="1">
      <c r="A13" s="4" t="s">
        <v>3</v>
      </c>
      <c r="B13" s="6">
        <v>2033</v>
      </c>
      <c r="C13" s="5">
        <v>0</v>
      </c>
      <c r="D13" s="5">
        <v>440000</v>
      </c>
      <c r="E13" s="5">
        <v>5633851.46</v>
      </c>
      <c r="F13" s="5">
        <v>0</v>
      </c>
      <c r="G13" s="5">
        <v>6073851.46</v>
      </c>
      <c r="H13" s="5">
        <v>6073851.46</v>
      </c>
      <c r="I13" s="5">
        <v>3116846.18</v>
      </c>
      <c r="J13" s="5">
        <v>6073851.46</v>
      </c>
      <c r="K13" s="5">
        <f>ROUND(G13-C13-D13-E13,2)</f>
        <v>0.0</v>
      </c>
    </row>
    <row r="14" spans="1:11" ht="28" customHeight="1">
      <c r="A14" s="4" t="s">
        <v>3</v>
      </c>
      <c r="B14" s="6">
        <v>2034</v>
      </c>
      <c r="C14" s="5">
        <v>0</v>
      </c>
      <c r="D14" s="5">
        <v>744000</v>
      </c>
      <c r="E14" s="5">
        <v>5967178.62</v>
      </c>
      <c r="F14" s="5">
        <v>0</v>
      </c>
      <c r="G14" s="5">
        <v>6711178.62</v>
      </c>
      <c r="H14" s="5">
        <v>6711178.62</v>
      </c>
      <c r="I14" s="5">
        <v>3130814.35</v>
      </c>
      <c r="J14" s="5">
        <v>6711178.62</v>
      </c>
      <c r="K14" s="5">
        <f>ROUND(G14-C14-D14-E14,2)</f>
        <v>0.0</v>
      </c>
    </row>
    <row r="15" spans="1:11" ht="28" customHeight="1">
      <c r="A15" s="4" t="s">
        <v>3</v>
      </c>
      <c r="B15" s="6">
        <v>2035</v>
      </c>
      <c r="C15" s="5">
        <v>0</v>
      </c>
      <c r="D15" s="5">
        <v>8008000</v>
      </c>
      <c r="E15" s="5">
        <v>6319304.3</v>
      </c>
      <c r="F15" s="5">
        <v>0</v>
      </c>
      <c r="G15" s="5">
        <v>14327304.3</v>
      </c>
      <c r="H15" s="5">
        <v>14327304.3</v>
      </c>
      <c r="I15" s="5">
        <v>6076175.63</v>
      </c>
      <c r="J15" s="5">
        <v>14327304.3</v>
      </c>
      <c r="K15" s="5">
        <f>ROUND(G15-C15-D15-E15,2)</f>
        <v>0.0</v>
      </c>
    </row>
    <row r="16" spans="1:11" ht="28" customHeight="1">
      <c r="A16" s="4" t="s">
        <v>3</v>
      </c>
      <c r="B16" s="6">
        <v>2036</v>
      </c>
      <c r="C16" s="5">
        <v>0</v>
      </c>
      <c r="D16" s="5">
        <v>1024000</v>
      </c>
      <c r="E16" s="5">
        <v>6580996.94</v>
      </c>
      <c r="F16" s="5">
        <v>0</v>
      </c>
      <c r="G16" s="5">
        <v>7604996.94</v>
      </c>
      <c r="H16" s="5">
        <v>7604996.94</v>
      </c>
      <c r="I16" s="5">
        <v>2932055.54</v>
      </c>
      <c r="J16" s="5">
        <v>7604996.94</v>
      </c>
      <c r="K16" s="5">
        <f>ROUND(G16-C16-D16-E16,2)</f>
        <v>0.0</v>
      </c>
    </row>
    <row r="17" spans="1:11" ht="28" customHeight="1">
      <c r="A17" s="4" t="s">
        <v>29</v>
      </c>
      <c r="B17" s="6">
        <v>2026</v>
      </c>
      <c r="C17" s="5">
        <v>3780000</v>
      </c>
      <c r="D17" s="5">
        <v>0</v>
      </c>
      <c r="E17" s="5">
        <v>0</v>
      </c>
      <c r="F17" s="5">
        <v>0</v>
      </c>
      <c r="G17" s="5">
        <v>3780000</v>
      </c>
      <c r="H17" s="5">
        <v>3780000</v>
      </c>
      <c r="I17" s="5">
        <v>3780000</v>
      </c>
      <c r="J17" s="5">
        <v>3780000</v>
      </c>
      <c r="K17" s="5">
        <f>ROUND(G17-C17-D17-E17,2)</f>
        <v>0.0</v>
      </c>
    </row>
    <row r="18" spans="1:11" ht="28" customHeight="1">
      <c r="A18" s="4" t="s">
        <v>29</v>
      </c>
      <c r="B18" s="6">
        <v>2027</v>
      </c>
      <c r="C18" s="5">
        <v>4795000</v>
      </c>
      <c r="D18" s="5">
        <v>3080000</v>
      </c>
      <c r="E18" s="5">
        <v>4277450</v>
      </c>
      <c r="F18" s="5">
        <v>0</v>
      </c>
      <c r="G18" s="5">
        <v>12152450</v>
      </c>
      <c r="H18" s="5">
        <v>12152450</v>
      </c>
      <c r="I18" s="5">
        <v>11047681.82</v>
      </c>
      <c r="J18" s="5">
        <v>12152450</v>
      </c>
      <c r="K18" s="5">
        <f>ROUND(G18-C18-D18-E18,2)</f>
        <v>0.0</v>
      </c>
    </row>
    <row r="19" spans="1:11" ht="28" customHeight="1">
      <c r="A19" s="4" t="s">
        <v>29</v>
      </c>
      <c r="B19" s="6">
        <v>2028</v>
      </c>
      <c r="C19" s="5">
        <v>6425000</v>
      </c>
      <c r="D19" s="5">
        <v>160000</v>
      </c>
      <c r="E19" s="5">
        <v>4414320.44</v>
      </c>
      <c r="F19" s="5">
        <v>0</v>
      </c>
      <c r="G19" s="5">
        <v>10999320.44</v>
      </c>
      <c r="H19" s="5">
        <v>10999320.44</v>
      </c>
      <c r="I19" s="5">
        <v>9090347.470000001</v>
      </c>
      <c r="J19" s="5">
        <v>10999320.44</v>
      </c>
      <c r="K19" s="5">
        <f>ROUND(G19-C19-D19-E19,2)</f>
        <v>-0.0</v>
      </c>
    </row>
    <row r="20" spans="1:11" ht="28" customHeight="1">
      <c r="A20" s="4" t="s">
        <v>29</v>
      </c>
      <c r="B20" s="6">
        <v>2029</v>
      </c>
      <c r="C20" s="5">
        <v>0</v>
      </c>
      <c r="D20" s="5">
        <v>0</v>
      </c>
      <c r="E20" s="5">
        <v>4552730.98</v>
      </c>
      <c r="F20" s="5">
        <v>0</v>
      </c>
      <c r="G20" s="5">
        <v>4552730.98</v>
      </c>
      <c r="H20" s="5">
        <v>4552730.98</v>
      </c>
      <c r="I20" s="5">
        <v>3420534.17</v>
      </c>
      <c r="J20" s="5">
        <v>4552730.98</v>
      </c>
      <c r="K20" s="5">
        <f>ROUND(G20-C20-D20-E20,2)</f>
        <v>0.0</v>
      </c>
    </row>
    <row r="21" spans="1:11" ht="28" customHeight="1">
      <c r="A21" s="4" t="s">
        <v>29</v>
      </c>
      <c r="B21" s="6">
        <v>2030</v>
      </c>
      <c r="C21" s="5">
        <v>0</v>
      </c>
      <c r="D21" s="5">
        <v>0</v>
      </c>
      <c r="E21" s="5">
        <v>4696705.34</v>
      </c>
      <c r="F21" s="5">
        <v>0</v>
      </c>
      <c r="G21" s="5">
        <v>4696705.34</v>
      </c>
      <c r="H21" s="5">
        <v>4696705.34</v>
      </c>
      <c r="I21" s="5">
        <v>3207912.94</v>
      </c>
      <c r="J21" s="5">
        <v>4696705.34</v>
      </c>
      <c r="K21" s="5">
        <f>ROUND(G21-C21-D21-E21,2)</f>
        <v>0.0</v>
      </c>
    </row>
    <row r="22" spans="1:11" ht="28" customHeight="1">
      <c r="A22" s="4" t="s">
        <v>29</v>
      </c>
      <c r="B22" s="6">
        <v>2031</v>
      </c>
      <c r="C22" s="5">
        <v>0</v>
      </c>
      <c r="D22" s="5">
        <v>3240000</v>
      </c>
      <c r="E22" s="5">
        <v>4846742.37</v>
      </c>
      <c r="F22" s="5">
        <v>0</v>
      </c>
      <c r="G22" s="5">
        <v>8086742.37</v>
      </c>
      <c r="H22" s="5">
        <v>8086742.37</v>
      </c>
      <c r="I22" s="5">
        <v>5021230.77</v>
      </c>
      <c r="J22" s="5">
        <v>8086742.37</v>
      </c>
      <c r="K22" s="5">
        <f>ROUND(G22-C22-D22-E22,2)</f>
        <v>0.0</v>
      </c>
    </row>
    <row r="23" spans="1:11" ht="28" customHeight="1">
      <c r="A23" s="4" t="s">
        <v>29</v>
      </c>
      <c r="B23" s="6">
        <v>2032</v>
      </c>
      <c r="C23" s="5">
        <v>0</v>
      </c>
      <c r="D23" s="5">
        <v>160000</v>
      </c>
      <c r="E23" s="5">
        <v>5007612.99</v>
      </c>
      <c r="F23" s="5">
        <v>0</v>
      </c>
      <c r="G23" s="5">
        <v>5167612.99</v>
      </c>
      <c r="H23" s="5">
        <v>5167612.99</v>
      </c>
      <c r="I23" s="5">
        <v>2916982.81</v>
      </c>
      <c r="J23" s="5">
        <v>5167612.99</v>
      </c>
      <c r="K23" s="5">
        <f>ROUND(G23-C23-D23-E23,2)</f>
        <v>0.0</v>
      </c>
    </row>
    <row r="24" spans="1:11" ht="28" customHeight="1">
      <c r="A24" s="4" t="s">
        <v>29</v>
      </c>
      <c r="B24" s="6">
        <v>2033</v>
      </c>
      <c r="C24" s="5">
        <v>0</v>
      </c>
      <c r="D24" s="5">
        <v>0</v>
      </c>
      <c r="E24" s="5">
        <v>5171800.07</v>
      </c>
      <c r="F24" s="5">
        <v>0</v>
      </c>
      <c r="G24" s="5">
        <v>5171800.07</v>
      </c>
      <c r="H24" s="5">
        <v>5171800.07</v>
      </c>
      <c r="I24" s="5">
        <v>2653951.19</v>
      </c>
      <c r="J24" s="5">
        <v>5171800.07</v>
      </c>
      <c r="K24" s="5">
        <f>ROUND(G24-C24-D24-E24,2)</f>
        <v>0.0</v>
      </c>
    </row>
    <row r="25" spans="1:11" ht="28" customHeight="1">
      <c r="A25" s="4" t="s">
        <v>29</v>
      </c>
      <c r="B25" s="6">
        <v>2034</v>
      </c>
      <c r="C25" s="5">
        <v>0</v>
      </c>
      <c r="D25" s="5">
        <v>160000</v>
      </c>
      <c r="E25" s="5">
        <v>5348635.21</v>
      </c>
      <c r="F25" s="5">
        <v>0</v>
      </c>
      <c r="G25" s="5">
        <v>5508635.21</v>
      </c>
      <c r="H25" s="5">
        <v>5508635.21</v>
      </c>
      <c r="I25" s="5">
        <v>2569818.98</v>
      </c>
      <c r="J25" s="5">
        <v>5508635.21</v>
      </c>
      <c r="K25" s="5">
        <f>ROUND(G25-C25-D25-E25,2)</f>
        <v>0.0</v>
      </c>
    </row>
    <row r="26" spans="1:11" ht="28" customHeight="1">
      <c r="A26" s="4" t="s">
        <v>29</v>
      </c>
      <c r="B26" s="6">
        <v>2035</v>
      </c>
      <c r="C26" s="5">
        <v>0</v>
      </c>
      <c r="D26" s="5">
        <v>3280000</v>
      </c>
      <c r="E26" s="5">
        <v>5530416.41</v>
      </c>
      <c r="F26" s="5">
        <v>0</v>
      </c>
      <c r="G26" s="5">
        <v>8810416.41</v>
      </c>
      <c r="H26" s="5">
        <v>8810416.41</v>
      </c>
      <c r="I26" s="5">
        <v>3736476.61</v>
      </c>
      <c r="J26" s="5">
        <v>8810416.41</v>
      </c>
      <c r="K26" s="5">
        <f>ROUND(G26-C26-D26-E26,2)</f>
        <v>0.0</v>
      </c>
    </row>
    <row r="27" spans="1:11" ht="28" customHeight="1">
      <c r="A27" s="4" t="s">
        <v>29</v>
      </c>
      <c r="B27" s="6">
        <v>2036</v>
      </c>
      <c r="C27" s="5">
        <v>0</v>
      </c>
      <c r="D27" s="5">
        <v>160000</v>
      </c>
      <c r="E27" s="5">
        <v>5727384.33</v>
      </c>
      <c r="F27" s="5">
        <v>0</v>
      </c>
      <c r="G27" s="5">
        <v>5887384.33</v>
      </c>
      <c r="H27" s="5">
        <v>5887384.33</v>
      </c>
      <c r="I27" s="5">
        <v>2269841.52</v>
      </c>
      <c r="J27" s="5">
        <v>5887384.33</v>
      </c>
      <c r="K27" s="5">
        <f>ROUND(G27-C27-D27-E27,2)</f>
        <v>0.0</v>
      </c>
    </row>
    <row r="28" spans="1:11" ht="28" customHeight="1">
      <c r="A28" s="4" t="s">
        <v>30</v>
      </c>
      <c r="B28" s="6">
        <v>2026</v>
      </c>
      <c r="C28" s="5">
        <v>3780000</v>
      </c>
      <c r="D28" s="5">
        <v>0</v>
      </c>
      <c r="E28" s="5">
        <v>0</v>
      </c>
      <c r="F28" s="5">
        <v>0</v>
      </c>
      <c r="G28" s="5">
        <v>3780000</v>
      </c>
      <c r="H28" s="5">
        <v>3780000</v>
      </c>
      <c r="I28" s="5">
        <v>3780000</v>
      </c>
      <c r="J28" s="5">
        <v>3780000</v>
      </c>
      <c r="K28" s="5">
        <f>ROUND(G28-C28-D28-E28,2)</f>
        <v>0.0</v>
      </c>
    </row>
    <row r="29" spans="1:11" ht="28" customHeight="1">
      <c r="A29" s="4" t="s">
        <v>30</v>
      </c>
      <c r="B29" s="6">
        <v>2027</v>
      </c>
      <c r="C29" s="5">
        <v>4795000</v>
      </c>
      <c r="D29" s="5">
        <v>5920000</v>
      </c>
      <c r="E29" s="5">
        <v>4652885</v>
      </c>
      <c r="F29" s="5">
        <v>0</v>
      </c>
      <c r="G29" s="5">
        <v>15367885</v>
      </c>
      <c r="H29" s="5">
        <v>15367885</v>
      </c>
      <c r="I29" s="5">
        <v>13970804.55</v>
      </c>
      <c r="J29" s="5">
        <v>15367885</v>
      </c>
      <c r="K29" s="5">
        <f>ROUND(G29-C29-D29-E29,2)</f>
        <v>0.0</v>
      </c>
    </row>
    <row r="30" spans="1:11" ht="28" customHeight="1">
      <c r="A30" s="4" t="s">
        <v>30</v>
      </c>
      <c r="B30" s="6">
        <v>2028</v>
      </c>
      <c r="C30" s="5">
        <v>6425000</v>
      </c>
      <c r="D30" s="5">
        <v>1144000</v>
      </c>
      <c r="E30" s="5">
        <v>4912718.9</v>
      </c>
      <c r="F30" s="5">
        <v>0</v>
      </c>
      <c r="G30" s="5">
        <v>12481718.9</v>
      </c>
      <c r="H30" s="5">
        <v>12481718.9</v>
      </c>
      <c r="I30" s="5">
        <v>10315470.17</v>
      </c>
      <c r="J30" s="5">
        <v>12481718.9</v>
      </c>
      <c r="K30" s="5">
        <f>ROUND(G30-C30-D30-E30,2)</f>
        <v>0.0</v>
      </c>
    </row>
    <row r="31" spans="1:11" ht="28" customHeight="1">
      <c r="A31" s="4" t="s">
        <v>30</v>
      </c>
      <c r="B31" s="6">
        <v>2029</v>
      </c>
      <c r="C31" s="5">
        <v>0</v>
      </c>
      <c r="D31" s="5">
        <v>1560000</v>
      </c>
      <c r="E31" s="5">
        <v>5209362.73</v>
      </c>
      <c r="F31" s="5">
        <v>0</v>
      </c>
      <c r="G31" s="5">
        <v>6769362.73</v>
      </c>
      <c r="H31" s="5">
        <v>6769362.73</v>
      </c>
      <c r="I31" s="5">
        <v>5085922.41</v>
      </c>
      <c r="J31" s="5">
        <v>6769362.73</v>
      </c>
      <c r="K31" s="5">
        <f>ROUND(G31-C31-D31-E31,2)</f>
        <v>0.0</v>
      </c>
    </row>
    <row r="32" spans="1:11" ht="28" customHeight="1">
      <c r="A32" s="4" t="s">
        <v>30</v>
      </c>
      <c r="B32" s="6">
        <v>2030</v>
      </c>
      <c r="C32" s="5">
        <v>0</v>
      </c>
      <c r="D32" s="5">
        <v>1704000</v>
      </c>
      <c r="E32" s="5">
        <v>5615367.57</v>
      </c>
      <c r="F32" s="5">
        <v>0</v>
      </c>
      <c r="G32" s="5">
        <v>7319367.57</v>
      </c>
      <c r="H32" s="5">
        <v>7319367.57</v>
      </c>
      <c r="I32" s="5">
        <v>4999226.54</v>
      </c>
      <c r="J32" s="5">
        <v>7319367.57</v>
      </c>
      <c r="K32" s="5">
        <f>ROUND(G32-C32-D32-E32,2)</f>
        <v>0.0</v>
      </c>
    </row>
    <row r="33" spans="1:11" ht="28" customHeight="1">
      <c r="A33" s="4" t="s">
        <v>30</v>
      </c>
      <c r="B33" s="6">
        <v>2031</v>
      </c>
      <c r="C33" s="5">
        <v>0</v>
      </c>
      <c r="D33" s="5">
        <v>12728000</v>
      </c>
      <c r="E33" s="5">
        <v>6185517.47</v>
      </c>
      <c r="F33" s="5">
        <v>0</v>
      </c>
      <c r="G33" s="5">
        <v>18913517.47</v>
      </c>
      <c r="H33" s="5">
        <v>18913517.47</v>
      </c>
      <c r="I33" s="5">
        <v>11743806.29</v>
      </c>
      <c r="J33" s="5">
        <v>18913517.47</v>
      </c>
      <c r="K33" s="5">
        <f>ROUND(G33-C33-D33-E33,2)</f>
        <v>-0.0</v>
      </c>
    </row>
    <row r="34" spans="1:11" ht="28" customHeight="1">
      <c r="A34" s="4" t="s">
        <v>30</v>
      </c>
      <c r="B34" s="6">
        <v>2032</v>
      </c>
      <c r="C34" s="5">
        <v>0</v>
      </c>
      <c r="D34" s="5">
        <v>2704000</v>
      </c>
      <c r="E34" s="5">
        <v>6667803.73</v>
      </c>
      <c r="F34" s="5">
        <v>0</v>
      </c>
      <c r="G34" s="5">
        <v>9371803.73</v>
      </c>
      <c r="H34" s="5">
        <v>9371803.73</v>
      </c>
      <c r="I34" s="5">
        <v>5290138.88</v>
      </c>
      <c r="J34" s="5">
        <v>9371803.73</v>
      </c>
      <c r="K34" s="5">
        <f>ROUND(G34-C34-D34-E34,2)</f>
        <v>0.0</v>
      </c>
    </row>
    <row r="35" spans="1:11" ht="28" customHeight="1">
      <c r="A35" s="4" t="s">
        <v>30</v>
      </c>
      <c r="B35" s="6">
        <v>2033</v>
      </c>
      <c r="C35" s="5">
        <v>0</v>
      </c>
      <c r="D35" s="5">
        <v>3544000</v>
      </c>
      <c r="E35" s="5">
        <v>7430029.64</v>
      </c>
      <c r="F35" s="5">
        <v>0</v>
      </c>
      <c r="G35" s="5">
        <v>10974029.64</v>
      </c>
      <c r="H35" s="5">
        <v>10974029.64</v>
      </c>
      <c r="I35" s="5">
        <v>5631412.4</v>
      </c>
      <c r="J35" s="5">
        <v>10974029.64</v>
      </c>
      <c r="K35" s="5">
        <f>ROUND(G35-C35-D35-E35,2)</f>
        <v>0.0</v>
      </c>
    </row>
    <row r="36" spans="1:11" ht="28" customHeight="1">
      <c r="A36" s="4" t="s">
        <v>30</v>
      </c>
      <c r="B36" s="6">
        <v>2034</v>
      </c>
      <c r="C36" s="5">
        <v>0</v>
      </c>
      <c r="D36" s="5">
        <v>4240000</v>
      </c>
      <c r="E36" s="5">
        <v>8243602.75</v>
      </c>
      <c r="F36" s="5">
        <v>0</v>
      </c>
      <c r="G36" s="5">
        <v>12483602.75</v>
      </c>
      <c r="H36" s="5">
        <v>12483602.75</v>
      </c>
      <c r="I36" s="5">
        <v>5823692.82</v>
      </c>
      <c r="J36" s="5">
        <v>12483602.75</v>
      </c>
      <c r="K36" s="5">
        <f>ROUND(G36-C36-D36-E36,2)</f>
        <v>0.0</v>
      </c>
    </row>
    <row r="37" spans="1:11" ht="28" customHeight="1">
      <c r="A37" s="4" t="s">
        <v>30</v>
      </c>
      <c r="B37" s="6">
        <v>2035</v>
      </c>
      <c r="C37" s="5">
        <v>0</v>
      </c>
      <c r="D37" s="5">
        <v>28744000</v>
      </c>
      <c r="E37" s="5">
        <v>9394502.539999999</v>
      </c>
      <c r="F37" s="5">
        <v>0</v>
      </c>
      <c r="G37" s="5">
        <v>38138502.54</v>
      </c>
      <c r="H37" s="5">
        <v>38138502.54</v>
      </c>
      <c r="I37" s="5">
        <v>16174448.1</v>
      </c>
      <c r="J37" s="5">
        <v>38138502.54</v>
      </c>
      <c r="K37" s="5">
        <f>ROUND(G37-C37-D37-E37,2)</f>
        <v>0.0</v>
      </c>
    </row>
    <row r="38" spans="1:11" ht="28" customHeight="1">
      <c r="A38" s="4" t="s">
        <v>30</v>
      </c>
      <c r="B38" s="6">
        <v>2036</v>
      </c>
      <c r="C38" s="5">
        <v>0</v>
      </c>
      <c r="D38" s="5">
        <v>6528000</v>
      </c>
      <c r="E38" s="5">
        <v>10620603.13</v>
      </c>
      <c r="F38" s="5">
        <v>0</v>
      </c>
      <c r="G38" s="5">
        <v>17148603.13</v>
      </c>
      <c r="H38" s="5">
        <v>17148603.13</v>
      </c>
      <c r="I38" s="5">
        <v>6611528.86</v>
      </c>
      <c r="J38" s="5">
        <v>17148603.13</v>
      </c>
      <c r="K38" s="5">
        <f>ROUND(G38-C38-D38-E38,2)</f>
        <v>-0.0</v>
      </c>
    </row>
    <row r="39" spans="1:11" ht="28" customHeight="1">
      <c r="A39" s="4" t="s">
        <v>31</v>
      </c>
      <c r="B39" s="6">
        <v>2026</v>
      </c>
      <c r="C39" s="5">
        <v>3780000</v>
      </c>
      <c r="D39" s="5">
        <v>0</v>
      </c>
      <c r="E39" s="5">
        <v>0</v>
      </c>
      <c r="F39" s="5">
        <v>0</v>
      </c>
      <c r="G39" s="5">
        <v>3780000</v>
      </c>
      <c r="H39" s="5">
        <v>3780000</v>
      </c>
      <c r="I39" s="5">
        <v>3780000</v>
      </c>
      <c r="J39" s="5">
        <v>3780000</v>
      </c>
      <c r="K39" s="5">
        <f>ROUND(G39-C39-D39-E39,2)</f>
        <v>0.0</v>
      </c>
    </row>
    <row r="40" spans="1:11" ht="28" customHeight="1">
      <c r="A40" s="4" t="s">
        <v>31</v>
      </c>
      <c r="B40" s="6">
        <v>2027</v>
      </c>
      <c r="C40" s="5">
        <v>420000</v>
      </c>
      <c r="D40" s="5">
        <v>4360000</v>
      </c>
      <c r="E40" s="5">
        <v>4401710</v>
      </c>
      <c r="F40" s="5">
        <v>0</v>
      </c>
      <c r="G40" s="5">
        <v>9181710</v>
      </c>
      <c r="H40" s="5">
        <v>9181710</v>
      </c>
      <c r="I40" s="5">
        <v>8347009.09</v>
      </c>
      <c r="J40" s="5">
        <v>9181710</v>
      </c>
      <c r="K40" s="5">
        <f>ROUND(G40-C40-D40-E40,2)</f>
        <v>0.0</v>
      </c>
    </row>
    <row r="41" spans="1:11" ht="28" customHeight="1">
      <c r="A41" s="4" t="s">
        <v>31</v>
      </c>
      <c r="B41" s="6">
        <v>2028</v>
      </c>
      <c r="C41" s="5">
        <v>0</v>
      </c>
      <c r="D41" s="5">
        <v>560000</v>
      </c>
      <c r="E41" s="5">
        <v>4668516.2</v>
      </c>
      <c r="F41" s="5">
        <v>0</v>
      </c>
      <c r="G41" s="5">
        <v>5228516.2</v>
      </c>
      <c r="H41" s="5">
        <v>5228516.2</v>
      </c>
      <c r="I41" s="5">
        <v>4321087.77</v>
      </c>
      <c r="J41" s="5">
        <v>5228516.2</v>
      </c>
      <c r="K41" s="5">
        <f>ROUND(G41-C41-D41-E41,2)</f>
        <v>0.0</v>
      </c>
    </row>
    <row r="42" spans="1:11" ht="28" customHeight="1">
      <c r="A42" s="4" t="s">
        <v>31</v>
      </c>
      <c r="B42" s="6">
        <v>2029</v>
      </c>
      <c r="C42" s="5">
        <v>4375000</v>
      </c>
      <c r="D42" s="5">
        <v>440000</v>
      </c>
      <c r="E42" s="5">
        <v>4822359.14</v>
      </c>
      <c r="F42" s="5">
        <v>0</v>
      </c>
      <c r="G42" s="5">
        <v>9637359.140000001</v>
      </c>
      <c r="H42" s="5">
        <v>9637359.140000001</v>
      </c>
      <c r="I42" s="5">
        <v>7240690.57</v>
      </c>
      <c r="J42" s="5">
        <v>9637359.140000001</v>
      </c>
      <c r="K42" s="5">
        <f>ROUND(G42-C42-D42-E42,2)</f>
        <v>0.0</v>
      </c>
    </row>
    <row r="43" spans="1:11" ht="28" customHeight="1">
      <c r="A43" s="4" t="s">
        <v>31</v>
      </c>
      <c r="B43" s="6">
        <v>2030</v>
      </c>
      <c r="C43" s="5">
        <v>6425000</v>
      </c>
      <c r="D43" s="5">
        <v>304000</v>
      </c>
      <c r="E43" s="5">
        <v>4979350.63</v>
      </c>
      <c r="F43" s="5">
        <v>0</v>
      </c>
      <c r="G43" s="5">
        <v>11708350.63</v>
      </c>
      <c r="H43" s="5">
        <v>11708350.63</v>
      </c>
      <c r="I43" s="5">
        <v>7996961.02</v>
      </c>
      <c r="J43" s="5">
        <v>11708350.63</v>
      </c>
      <c r="K43" s="5">
        <f>ROUND(G43-C43-D43-E43,2)</f>
        <v>0.0</v>
      </c>
    </row>
    <row r="44" spans="1:11" ht="28" customHeight="1">
      <c r="A44" s="4" t="s">
        <v>31</v>
      </c>
      <c r="B44" s="6">
        <v>2031</v>
      </c>
      <c r="C44" s="5">
        <v>0</v>
      </c>
      <c r="D44" s="5">
        <v>6104000</v>
      </c>
      <c r="E44" s="5">
        <v>5266189.81</v>
      </c>
      <c r="F44" s="5">
        <v>0</v>
      </c>
      <c r="G44" s="5">
        <v>11370189.81</v>
      </c>
      <c r="H44" s="5">
        <v>11370189.81</v>
      </c>
      <c r="I44" s="5">
        <v>7059993.3</v>
      </c>
      <c r="J44" s="5">
        <v>11370189.81</v>
      </c>
      <c r="K44" s="5">
        <f>ROUND(G44-C44-D44-E44,2)</f>
        <v>0.0</v>
      </c>
    </row>
    <row r="45" spans="1:11" ht="28" customHeight="1">
      <c r="A45" s="4" t="s">
        <v>31</v>
      </c>
      <c r="B45" s="6">
        <v>2032</v>
      </c>
      <c r="C45" s="5">
        <v>0</v>
      </c>
      <c r="D45" s="5">
        <v>280000</v>
      </c>
      <c r="E45" s="5">
        <v>5442998.42</v>
      </c>
      <c r="F45" s="5">
        <v>0</v>
      </c>
      <c r="G45" s="5">
        <v>5722998.42</v>
      </c>
      <c r="H45" s="5">
        <v>5722998.42</v>
      </c>
      <c r="I45" s="5">
        <v>3230483.41</v>
      </c>
      <c r="J45" s="5">
        <v>5722998.42</v>
      </c>
      <c r="K45" s="5">
        <f>ROUND(G45-C45-D45-E45,2)</f>
        <v>0.0</v>
      </c>
    </row>
    <row r="46" spans="1:11" ht="28" customHeight="1">
      <c r="A46" s="4" t="s">
        <v>31</v>
      </c>
      <c r="B46" s="6">
        <v>2033</v>
      </c>
      <c r="C46" s="5">
        <v>0</v>
      </c>
      <c r="D46" s="5">
        <v>440000</v>
      </c>
      <c r="E46" s="5">
        <v>5633851.46</v>
      </c>
      <c r="F46" s="5">
        <v>0</v>
      </c>
      <c r="G46" s="5">
        <v>6073851.46</v>
      </c>
      <c r="H46" s="5">
        <v>6073851.46</v>
      </c>
      <c r="I46" s="5">
        <v>3116846.18</v>
      </c>
      <c r="J46" s="5">
        <v>6073851.46</v>
      </c>
      <c r="K46" s="5">
        <f>ROUND(G46-C46-D46-E46,2)</f>
        <v>0.0</v>
      </c>
    </row>
    <row r="47" spans="1:11" ht="28" customHeight="1">
      <c r="A47" s="4" t="s">
        <v>31</v>
      </c>
      <c r="B47" s="6">
        <v>2034</v>
      </c>
      <c r="C47" s="5">
        <v>0</v>
      </c>
      <c r="D47" s="5">
        <v>744000</v>
      </c>
      <c r="E47" s="5">
        <v>5967178.62</v>
      </c>
      <c r="F47" s="5">
        <v>0</v>
      </c>
      <c r="G47" s="5">
        <v>6711178.62</v>
      </c>
      <c r="H47" s="5">
        <v>6711178.62</v>
      </c>
      <c r="I47" s="5">
        <v>3130814.35</v>
      </c>
      <c r="J47" s="5">
        <v>6711178.62</v>
      </c>
      <c r="K47" s="5">
        <f>ROUND(G47-C47-D47-E47,2)</f>
        <v>0.0</v>
      </c>
    </row>
    <row r="48" spans="1:11" ht="28" customHeight="1">
      <c r="A48" s="4" t="s">
        <v>31</v>
      </c>
      <c r="B48" s="6">
        <v>2035</v>
      </c>
      <c r="C48" s="5">
        <v>0</v>
      </c>
      <c r="D48" s="5">
        <v>8008000</v>
      </c>
      <c r="E48" s="5">
        <v>6319304.3</v>
      </c>
      <c r="F48" s="5">
        <v>0</v>
      </c>
      <c r="G48" s="5">
        <v>14327304.3</v>
      </c>
      <c r="H48" s="5">
        <v>14327304.3</v>
      </c>
      <c r="I48" s="5">
        <v>6076175.63</v>
      </c>
      <c r="J48" s="5">
        <v>14327304.3</v>
      </c>
      <c r="K48" s="5">
        <f>ROUND(G48-C48-D48-E48,2)</f>
        <v>0.0</v>
      </c>
    </row>
    <row r="49" spans="1:11" ht="28" customHeight="1">
      <c r="A49" s="4" t="s">
        <v>31</v>
      </c>
      <c r="B49" s="6">
        <v>2036</v>
      </c>
      <c r="C49" s="5">
        <v>0</v>
      </c>
      <c r="D49" s="5">
        <v>1024000</v>
      </c>
      <c r="E49" s="5">
        <v>6580996.94</v>
      </c>
      <c r="F49" s="5">
        <v>0</v>
      </c>
      <c r="G49" s="5">
        <v>7604996.94</v>
      </c>
      <c r="H49" s="5">
        <v>7604996.94</v>
      </c>
      <c r="I49" s="5">
        <v>2932055.54</v>
      </c>
      <c r="J49" s="5">
        <v>7604996.94</v>
      </c>
      <c r="K49" s="5">
        <f>ROUND(G49-C49-D49-E49,2)</f>
        <v>0.0</v>
      </c>
    </row>
  </sheetData>
  <autoFilter ref="A5:J49"/>
  <mergeCells count="2">
    <mergeCell ref="A1:J1"/>
    <mergeCell ref="A2:J3"/>
  </mergeCells>
  <pageMargins left="0.7" right="0.7" top="0.75" bottom="0.75" header="0.3" footer="0.3"/>
  <pageSetup paperSize="8" orientation="landscape"/>
  <headerFooter>
    <oddFooter>&amp;LSource-controlled synthetic design&amp;RPage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9" width="17.7109375" customWidth="1"/>
  </cols>
  <sheetData>
    <row r="1" spans="1:9">
      <c r="A1" s="1" t="s">
        <v>41</v>
      </c>
      <c r="B1" s="1"/>
      <c r="C1" s="1"/>
      <c r="D1" s="1"/>
      <c r="E1" s="1"/>
      <c r="F1" s="1"/>
      <c r="G1" s="1"/>
      <c r="H1" s="1"/>
    </row>
    <row r="2" spans="1:9" ht="25" customHeight="1">
      <c r="A2" s="2" t="s">
        <v>13</v>
      </c>
      <c r="B2" s="2"/>
      <c r="C2" s="2"/>
      <c r="D2" s="2"/>
      <c r="E2" s="2"/>
      <c r="F2" s="2"/>
      <c r="G2" s="2"/>
      <c r="H2" s="2"/>
    </row>
    <row r="3" spans="1:9" ht="18" customHeight="1">
      <c r="A3" s="2"/>
      <c r="B3" s="2"/>
      <c r="C3" s="2"/>
      <c r="D3" s="2"/>
      <c r="E3" s="2"/>
      <c r="F3" s="2"/>
      <c r="G3" s="2"/>
      <c r="H3" s="2"/>
    </row>
    <row r="5" spans="1:9" ht="36" customHeight="1">
      <c r="A5" s="3" t="s">
        <v>14</v>
      </c>
      <c r="B5" s="3" t="s">
        <v>15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26</v>
      </c>
    </row>
    <row r="6" spans="1:9" ht="28" customHeight="1">
      <c r="A6" s="4" t="s">
        <v>3</v>
      </c>
      <c r="B6" s="6">
        <v>2026</v>
      </c>
      <c r="C6" s="5">
        <v>3000000</v>
      </c>
      <c r="D6" s="5">
        <v>3780000</v>
      </c>
      <c r="E6" s="5">
        <v>0</v>
      </c>
      <c r="F6" s="5">
        <v>3780000</v>
      </c>
      <c r="G6" s="5">
        <v>780000</v>
      </c>
      <c r="H6" s="6">
        <v>2029</v>
      </c>
      <c r="I6" s="5">
        <f>ROUND(F6-D6+E6,2)</f>
        <v>0.0</v>
      </c>
    </row>
    <row r="7" spans="1:9" ht="28" customHeight="1">
      <c r="A7" s="4" t="s">
        <v>3</v>
      </c>
      <c r="B7" s="6">
        <v>2027</v>
      </c>
      <c r="C7" s="5">
        <v>8761710</v>
      </c>
      <c r="D7" s="5">
        <v>13556710</v>
      </c>
      <c r="E7" s="5">
        <v>0</v>
      </c>
      <c r="F7" s="5">
        <v>13556710</v>
      </c>
      <c r="G7" s="5">
        <v>4359090.91</v>
      </c>
      <c r="H7" s="6">
        <v>2029</v>
      </c>
      <c r="I7" s="5">
        <f>ROUND(F7-D7+E7,2)</f>
        <v>0.0</v>
      </c>
    </row>
    <row r="8" spans="1:9" ht="28" customHeight="1">
      <c r="A8" s="4" t="s">
        <v>3</v>
      </c>
      <c r="B8" s="6">
        <v>2028</v>
      </c>
      <c r="C8" s="5">
        <v>5228516.2</v>
      </c>
      <c r="D8" s="5">
        <v>11653516.2</v>
      </c>
      <c r="E8" s="5">
        <v>0</v>
      </c>
      <c r="F8" s="5">
        <v>11653516.2</v>
      </c>
      <c r="G8" s="5">
        <v>5309917.36</v>
      </c>
      <c r="H8" s="6">
        <v>2029</v>
      </c>
      <c r="I8" s="5">
        <f>ROUND(F8-D8+E8,2)</f>
        <v>0.0</v>
      </c>
    </row>
    <row r="9" spans="1:9" ht="28" customHeight="1">
      <c r="A9" s="4" t="s">
        <v>3</v>
      </c>
      <c r="B9" s="6">
        <v>2029</v>
      </c>
      <c r="C9" s="5">
        <v>5262359.14</v>
      </c>
      <c r="D9" s="5">
        <v>6782170.14</v>
      </c>
      <c r="E9" s="5">
        <v>0</v>
      </c>
      <c r="F9" s="5">
        <v>6782170.14</v>
      </c>
      <c r="G9" s="5">
        <v>1141856.5</v>
      </c>
      <c r="H9" s="6">
        <v>2029</v>
      </c>
      <c r="I9" s="5">
        <f>ROUND(F9-D9+E9,2)</f>
        <v>0.0</v>
      </c>
    </row>
    <row r="10" spans="1:9" ht="28" customHeight="1">
      <c r="A10" s="4" t="s">
        <v>3</v>
      </c>
      <c r="B10" s="6">
        <v>2030</v>
      </c>
      <c r="C10" s="5">
        <v>5283350.63</v>
      </c>
      <c r="D10" s="5">
        <v>6066273.32</v>
      </c>
      <c r="E10" s="5">
        <v>0</v>
      </c>
      <c r="F10" s="5">
        <v>6066273.32</v>
      </c>
      <c r="G10" s="5">
        <v>534746.73</v>
      </c>
      <c r="H10" s="6">
        <v>2029</v>
      </c>
      <c r="I10" s="5">
        <f>ROUND(F10-D10+E10,2)</f>
        <v>0.0</v>
      </c>
    </row>
    <row r="11" spans="1:9" ht="28" customHeight="1">
      <c r="A11" s="4" t="s">
        <v>3</v>
      </c>
      <c r="B11" s="6">
        <v>2031</v>
      </c>
      <c r="C11" s="5">
        <v>11370189.81</v>
      </c>
      <c r="D11" s="5">
        <v>12026869.06</v>
      </c>
      <c r="E11" s="5">
        <v>0</v>
      </c>
      <c r="F11" s="5">
        <v>12026869.06</v>
      </c>
      <c r="G11" s="5">
        <v>407746.15</v>
      </c>
      <c r="H11" s="6">
        <v>2029</v>
      </c>
      <c r="I11" s="5">
        <f>ROUND(F11-D11+E11,2)</f>
        <v>0.0</v>
      </c>
    </row>
    <row r="12" spans="1:9" ht="28" customHeight="1">
      <c r="A12" s="4" t="s">
        <v>3</v>
      </c>
      <c r="B12" s="6">
        <v>2032</v>
      </c>
      <c r="C12" s="5">
        <v>5722998.42</v>
      </c>
      <c r="D12" s="5">
        <v>6366026.75</v>
      </c>
      <c r="E12" s="5">
        <v>0</v>
      </c>
      <c r="F12" s="5">
        <v>6366026.75</v>
      </c>
      <c r="G12" s="5">
        <v>362972.73</v>
      </c>
      <c r="H12" s="6">
        <v>2029</v>
      </c>
      <c r="I12" s="5">
        <f>ROUND(F12-D12+E12,2)</f>
        <v>0.0</v>
      </c>
    </row>
    <row r="13" spans="1:9" ht="28" customHeight="1">
      <c r="A13" s="4" t="s">
        <v>3</v>
      </c>
      <c r="B13" s="6">
        <v>2033</v>
      </c>
      <c r="C13" s="5">
        <v>6073851.46</v>
      </c>
      <c r="D13" s="5">
        <v>6704114.95</v>
      </c>
      <c r="E13" s="5">
        <v>0</v>
      </c>
      <c r="F13" s="5">
        <v>6704114.95</v>
      </c>
      <c r="G13" s="5">
        <v>323424.83</v>
      </c>
      <c r="H13" s="6">
        <v>2029</v>
      </c>
      <c r="I13" s="5">
        <f>ROUND(F13-D13+E13,2)</f>
        <v>0.0</v>
      </c>
    </row>
    <row r="14" spans="1:9" ht="28" customHeight="1">
      <c r="A14" s="4" t="s">
        <v>3</v>
      </c>
      <c r="B14" s="6">
        <v>2034</v>
      </c>
      <c r="C14" s="5">
        <v>6711178.62</v>
      </c>
      <c r="D14" s="5">
        <v>7206504.41</v>
      </c>
      <c r="E14" s="5">
        <v>0</v>
      </c>
      <c r="F14" s="5">
        <v>7206504.41</v>
      </c>
      <c r="G14" s="5">
        <v>231073.14</v>
      </c>
      <c r="H14" s="6">
        <v>2029</v>
      </c>
      <c r="I14" s="5">
        <f>ROUND(F14-D14+E14,2)</f>
        <v>0.0</v>
      </c>
    </row>
    <row r="15" spans="1:9" ht="28" customHeight="1">
      <c r="A15" s="4" t="s">
        <v>3</v>
      </c>
      <c r="B15" s="6">
        <v>2035</v>
      </c>
      <c r="C15" s="5">
        <v>14327304.3</v>
      </c>
      <c r="D15" s="5">
        <v>14671645.95</v>
      </c>
      <c r="E15" s="5">
        <v>0</v>
      </c>
      <c r="F15" s="5">
        <v>14671645.95</v>
      </c>
      <c r="G15" s="5">
        <v>146034.47</v>
      </c>
      <c r="H15" s="6">
        <v>2029</v>
      </c>
      <c r="I15" s="5">
        <f>ROUND(F15-D15+E15,2)</f>
        <v>0.0</v>
      </c>
    </row>
    <row r="16" spans="1:9" ht="28" customHeight="1">
      <c r="A16" s="4" t="s">
        <v>3</v>
      </c>
      <c r="B16" s="6">
        <v>2036</v>
      </c>
      <c r="C16" s="5">
        <v>7604996.94</v>
      </c>
      <c r="D16" s="5">
        <v>8184868.53</v>
      </c>
      <c r="E16" s="5">
        <v>0</v>
      </c>
      <c r="F16" s="5">
        <v>8184868.53</v>
      </c>
      <c r="G16" s="5">
        <v>223565.6</v>
      </c>
      <c r="H16" s="6">
        <v>2029</v>
      </c>
      <c r="I16" s="5">
        <f>ROUND(F16-D16+E16,2)</f>
        <v>0.0</v>
      </c>
    </row>
    <row r="17" spans="1:9" ht="28" customHeight="1">
      <c r="A17" s="4" t="s">
        <v>29</v>
      </c>
      <c r="B17" s="6">
        <v>2026</v>
      </c>
      <c r="C17" s="5">
        <v>3000000</v>
      </c>
      <c r="D17" s="5">
        <v>3780000</v>
      </c>
      <c r="E17" s="5">
        <v>0</v>
      </c>
      <c r="F17" s="5">
        <v>3780000</v>
      </c>
      <c r="G17" s="5">
        <v>780000</v>
      </c>
      <c r="H17" s="6">
        <v>2029</v>
      </c>
      <c r="I17" s="5">
        <f>ROUND(F17-D17+E17,2)</f>
        <v>0.0</v>
      </c>
    </row>
    <row r="18" spans="1:9" ht="28" customHeight="1">
      <c r="A18" s="4" t="s">
        <v>29</v>
      </c>
      <c r="B18" s="6">
        <v>2027</v>
      </c>
      <c r="C18" s="5">
        <v>7357450</v>
      </c>
      <c r="D18" s="5">
        <v>12152450</v>
      </c>
      <c r="E18" s="5">
        <v>0</v>
      </c>
      <c r="F18" s="5">
        <v>12152450</v>
      </c>
      <c r="G18" s="5">
        <v>4359090.91</v>
      </c>
      <c r="H18" s="6">
        <v>2029</v>
      </c>
      <c r="I18" s="5">
        <f>ROUND(F18-D18+E18,2)</f>
        <v>0.0</v>
      </c>
    </row>
    <row r="19" spans="1:9" ht="28" customHeight="1">
      <c r="A19" s="4" t="s">
        <v>29</v>
      </c>
      <c r="B19" s="6">
        <v>2028</v>
      </c>
      <c r="C19" s="5">
        <v>4574320.44</v>
      </c>
      <c r="D19" s="5">
        <v>10999320.44</v>
      </c>
      <c r="E19" s="5">
        <v>0</v>
      </c>
      <c r="F19" s="5">
        <v>10999320.44</v>
      </c>
      <c r="G19" s="5">
        <v>5309917.36</v>
      </c>
      <c r="H19" s="6">
        <v>2029</v>
      </c>
      <c r="I19" s="5">
        <f>ROUND(F19-D19+E19,2)</f>
        <v>0.0</v>
      </c>
    </row>
    <row r="20" spans="1:9" ht="28" customHeight="1">
      <c r="A20" s="4" t="s">
        <v>29</v>
      </c>
      <c r="B20" s="6">
        <v>2029</v>
      </c>
      <c r="C20" s="5">
        <v>4552730.98</v>
      </c>
      <c r="D20" s="5">
        <v>6136685.04</v>
      </c>
      <c r="E20" s="5">
        <v>0</v>
      </c>
      <c r="F20" s="5">
        <v>6136685.04</v>
      </c>
      <c r="G20" s="5">
        <v>1190048.13</v>
      </c>
      <c r="H20" s="6">
        <v>2029</v>
      </c>
      <c r="I20" s="5">
        <f>ROUND(F20-D20+E20,2)</f>
        <v>0.0</v>
      </c>
    </row>
    <row r="21" spans="1:9" ht="28" customHeight="1">
      <c r="A21" s="4" t="s">
        <v>29</v>
      </c>
      <c r="B21" s="6">
        <v>2030</v>
      </c>
      <c r="C21" s="5">
        <v>4696705.34</v>
      </c>
      <c r="D21" s="5">
        <v>5653542.15</v>
      </c>
      <c r="E21" s="5">
        <v>0</v>
      </c>
      <c r="F21" s="5">
        <v>5653542.15</v>
      </c>
      <c r="G21" s="5">
        <v>653532.41</v>
      </c>
      <c r="H21" s="6">
        <v>2029</v>
      </c>
      <c r="I21" s="5">
        <f>ROUND(F21-D21+E21,2)</f>
        <v>0.0</v>
      </c>
    </row>
    <row r="22" spans="1:9" ht="28" customHeight="1">
      <c r="A22" s="4" t="s">
        <v>29</v>
      </c>
      <c r="B22" s="6">
        <v>2031</v>
      </c>
      <c r="C22" s="5">
        <v>8086742.37</v>
      </c>
      <c r="D22" s="5">
        <v>9033252.91</v>
      </c>
      <c r="E22" s="5">
        <v>0</v>
      </c>
      <c r="F22" s="5">
        <v>9033252.91</v>
      </c>
      <c r="G22" s="5">
        <v>587708.5699999999</v>
      </c>
      <c r="H22" s="6">
        <v>2029</v>
      </c>
      <c r="I22" s="5">
        <f>ROUND(F22-D22+E22,2)</f>
        <v>0.0</v>
      </c>
    </row>
    <row r="23" spans="1:9" ht="28" customHeight="1">
      <c r="A23" s="4" t="s">
        <v>29</v>
      </c>
      <c r="B23" s="6">
        <v>2032</v>
      </c>
      <c r="C23" s="5">
        <v>5167612.99</v>
      </c>
      <c r="D23" s="5">
        <v>6105011.71</v>
      </c>
      <c r="E23" s="5">
        <v>0</v>
      </c>
      <c r="F23" s="5">
        <v>6105011.71</v>
      </c>
      <c r="G23" s="5">
        <v>529137.14</v>
      </c>
      <c r="H23" s="6">
        <v>2029</v>
      </c>
      <c r="I23" s="5">
        <f>ROUND(F23-D23+E23,2)</f>
        <v>0.0</v>
      </c>
    </row>
    <row r="24" spans="1:9" ht="28" customHeight="1">
      <c r="A24" s="4" t="s">
        <v>29</v>
      </c>
      <c r="B24" s="6">
        <v>2033</v>
      </c>
      <c r="C24" s="5">
        <v>5171800.07</v>
      </c>
      <c r="D24" s="5">
        <v>6090622.45</v>
      </c>
      <c r="E24" s="5">
        <v>0</v>
      </c>
      <c r="F24" s="5">
        <v>6090622.45</v>
      </c>
      <c r="G24" s="5">
        <v>471501.16</v>
      </c>
      <c r="H24" s="6">
        <v>2029</v>
      </c>
      <c r="I24" s="5">
        <f>ROUND(F24-D24+E24,2)</f>
        <v>0.0</v>
      </c>
    </row>
    <row r="25" spans="1:9" ht="28" customHeight="1">
      <c r="A25" s="4" t="s">
        <v>29</v>
      </c>
      <c r="B25" s="6">
        <v>2034</v>
      </c>
      <c r="C25" s="5">
        <v>5508635.21</v>
      </c>
      <c r="D25" s="5">
        <v>6417698.03</v>
      </c>
      <c r="E25" s="5">
        <v>0</v>
      </c>
      <c r="F25" s="5">
        <v>6417698.03</v>
      </c>
      <c r="G25" s="5">
        <v>424084.52</v>
      </c>
      <c r="H25" s="6">
        <v>2029</v>
      </c>
      <c r="I25" s="5">
        <f>ROUND(F25-D25+E25,2)</f>
        <v>0.0</v>
      </c>
    </row>
    <row r="26" spans="1:9" ht="28" customHeight="1">
      <c r="A26" s="4" t="s">
        <v>29</v>
      </c>
      <c r="B26" s="6">
        <v>2035</v>
      </c>
      <c r="C26" s="5">
        <v>8810416.41</v>
      </c>
      <c r="D26" s="5">
        <v>9707856.93</v>
      </c>
      <c r="E26" s="5">
        <v>0</v>
      </c>
      <c r="F26" s="5">
        <v>9707856.93</v>
      </c>
      <c r="G26" s="5">
        <v>380602.39</v>
      </c>
      <c r="H26" s="6">
        <v>2029</v>
      </c>
      <c r="I26" s="5">
        <f>ROUND(F26-D26+E26,2)</f>
        <v>0.0</v>
      </c>
    </row>
    <row r="27" spans="1:9" ht="28" customHeight="1">
      <c r="A27" s="4" t="s">
        <v>29</v>
      </c>
      <c r="B27" s="6">
        <v>2036</v>
      </c>
      <c r="C27" s="5">
        <v>5887384.33</v>
      </c>
      <c r="D27" s="5">
        <v>7024378.11</v>
      </c>
      <c r="E27" s="5">
        <v>0</v>
      </c>
      <c r="F27" s="5">
        <v>7024378.11</v>
      </c>
      <c r="G27" s="5">
        <v>438360.32</v>
      </c>
      <c r="H27" s="6">
        <v>2029</v>
      </c>
      <c r="I27" s="5">
        <f>ROUND(F27-D27+E27,2)</f>
        <v>0.0</v>
      </c>
    </row>
    <row r="28" spans="1:9" ht="28" customHeight="1">
      <c r="A28" s="4" t="s">
        <v>30</v>
      </c>
      <c r="B28" s="6">
        <v>2026</v>
      </c>
      <c r="C28" s="5">
        <v>3000000</v>
      </c>
      <c r="D28" s="5">
        <v>3780000</v>
      </c>
      <c r="E28" s="5">
        <v>0</v>
      </c>
      <c r="F28" s="5">
        <v>3780000</v>
      </c>
      <c r="G28" s="5">
        <v>780000</v>
      </c>
      <c r="H28" s="6">
        <v>2029</v>
      </c>
      <c r="I28" s="5">
        <f>ROUND(F28-D28+E28,2)</f>
        <v>0.0</v>
      </c>
    </row>
    <row r="29" spans="1:9" ht="28" customHeight="1">
      <c r="A29" s="4" t="s">
        <v>30</v>
      </c>
      <c r="B29" s="6">
        <v>2027</v>
      </c>
      <c r="C29" s="5">
        <v>10572885</v>
      </c>
      <c r="D29" s="5">
        <v>15367885</v>
      </c>
      <c r="E29" s="5">
        <v>0</v>
      </c>
      <c r="F29" s="5">
        <v>15367885</v>
      </c>
      <c r="G29" s="5">
        <v>4359090.91</v>
      </c>
      <c r="H29" s="6">
        <v>2029</v>
      </c>
      <c r="I29" s="5">
        <f>ROUND(F29-D29+E29,2)</f>
        <v>0.0</v>
      </c>
    </row>
    <row r="30" spans="1:9" ht="28" customHeight="1">
      <c r="A30" s="4" t="s">
        <v>30</v>
      </c>
      <c r="B30" s="6">
        <v>2028</v>
      </c>
      <c r="C30" s="5">
        <v>6056718.9</v>
      </c>
      <c r="D30" s="5">
        <v>12481718.9</v>
      </c>
      <c r="E30" s="5">
        <v>0</v>
      </c>
      <c r="F30" s="5">
        <v>12481718.9</v>
      </c>
      <c r="G30" s="5">
        <v>5309917.36</v>
      </c>
      <c r="H30" s="6">
        <v>2029</v>
      </c>
      <c r="I30" s="5">
        <f>ROUND(F30-D30+E30,2)</f>
        <v>0.0</v>
      </c>
    </row>
    <row r="31" spans="1:9" ht="28" customHeight="1">
      <c r="A31" s="4" t="s">
        <v>30</v>
      </c>
      <c r="B31" s="6">
        <v>2029</v>
      </c>
      <c r="C31" s="5">
        <v>6769362.73</v>
      </c>
      <c r="D31" s="5">
        <v>8200504.13</v>
      </c>
      <c r="E31" s="5">
        <v>0</v>
      </c>
      <c r="F31" s="5">
        <v>8200504.13</v>
      </c>
      <c r="G31" s="5">
        <v>1075237.72</v>
      </c>
      <c r="H31" s="6">
        <v>2029</v>
      </c>
      <c r="I31" s="5">
        <f>ROUND(F31-D31+E31,2)</f>
        <v>0.0</v>
      </c>
    </row>
    <row r="32" spans="1:9" ht="28" customHeight="1">
      <c r="A32" s="4" t="s">
        <v>30</v>
      </c>
      <c r="B32" s="6">
        <v>2030</v>
      </c>
      <c r="C32" s="5">
        <v>7319367.57</v>
      </c>
      <c r="D32" s="5">
        <v>7644450.82</v>
      </c>
      <c r="E32" s="5">
        <v>0</v>
      </c>
      <c r="F32" s="5">
        <v>7644450.82</v>
      </c>
      <c r="G32" s="5">
        <v>222036.23</v>
      </c>
      <c r="H32" s="6">
        <v>2029</v>
      </c>
      <c r="I32" s="5">
        <f>ROUND(F32-D32+E32,2)</f>
        <v>0.0</v>
      </c>
    </row>
    <row r="33" spans="1:9" ht="28" customHeight="1">
      <c r="A33" s="4" t="s">
        <v>30</v>
      </c>
      <c r="B33" s="6">
        <v>2031</v>
      </c>
      <c r="C33" s="5">
        <v>18913517.47</v>
      </c>
      <c r="D33" s="5">
        <v>18904517.18</v>
      </c>
      <c r="E33" s="5">
        <v>0</v>
      </c>
      <c r="F33" s="5">
        <v>18904517.18</v>
      </c>
      <c r="G33" s="5">
        <v>-5588.47</v>
      </c>
      <c r="H33" s="6">
        <v>2029</v>
      </c>
      <c r="I33" s="5">
        <f>ROUND(F33-D33+E33,2)</f>
        <v>0.0</v>
      </c>
    </row>
    <row r="34" spans="1:9" ht="28" customHeight="1">
      <c r="A34" s="4" t="s">
        <v>30</v>
      </c>
      <c r="B34" s="6">
        <v>2032</v>
      </c>
      <c r="C34" s="5">
        <v>9371803.73</v>
      </c>
      <c r="D34" s="5">
        <v>9136446.050000001</v>
      </c>
      <c r="E34" s="5">
        <v>0</v>
      </c>
      <c r="F34" s="5">
        <v>9136446.050000001</v>
      </c>
      <c r="G34" s="5">
        <v>-132853.27</v>
      </c>
      <c r="H34" s="6">
        <v>2029</v>
      </c>
      <c r="I34" s="5">
        <f>ROUND(F34-D34+E34,2)</f>
        <v>0.0</v>
      </c>
    </row>
    <row r="35" spans="1:9" ht="28" customHeight="1">
      <c r="A35" s="4" t="s">
        <v>30</v>
      </c>
      <c r="B35" s="6">
        <v>2033</v>
      </c>
      <c r="C35" s="5">
        <v>10974029.64</v>
      </c>
      <c r="D35" s="5">
        <v>10268437.64</v>
      </c>
      <c r="E35" s="5">
        <v>0</v>
      </c>
      <c r="F35" s="5">
        <v>10268437.64</v>
      </c>
      <c r="G35" s="5">
        <v>-362080.26</v>
      </c>
      <c r="H35" s="6">
        <v>2029</v>
      </c>
      <c r="I35" s="5">
        <f>ROUND(F35-D35+E35,2)</f>
        <v>0.0</v>
      </c>
    </row>
    <row r="36" spans="1:9" ht="28" customHeight="1">
      <c r="A36" s="4" t="s">
        <v>30</v>
      </c>
      <c r="B36" s="6">
        <v>2034</v>
      </c>
      <c r="C36" s="5">
        <v>12483602.75</v>
      </c>
      <c r="D36" s="5">
        <v>11292123.78</v>
      </c>
      <c r="E36" s="5">
        <v>0</v>
      </c>
      <c r="F36" s="5">
        <v>11292123.78</v>
      </c>
      <c r="G36" s="5">
        <v>-555833.73</v>
      </c>
      <c r="H36" s="6">
        <v>2029</v>
      </c>
      <c r="I36" s="5">
        <f>ROUND(F36-D36+E36,2)</f>
        <v>0.0</v>
      </c>
    </row>
    <row r="37" spans="1:9" ht="28" customHeight="1">
      <c r="A37" s="4" t="s">
        <v>30</v>
      </c>
      <c r="B37" s="6">
        <v>2035</v>
      </c>
      <c r="C37" s="5">
        <v>38138502.54</v>
      </c>
      <c r="D37" s="5">
        <v>36191624.61</v>
      </c>
      <c r="E37" s="5">
        <v>0</v>
      </c>
      <c r="F37" s="5">
        <v>36191624.61</v>
      </c>
      <c r="G37" s="5">
        <v>-825666.29</v>
      </c>
      <c r="H37" s="6">
        <v>2029</v>
      </c>
      <c r="I37" s="5">
        <f>ROUND(F37-D37+E37,2)</f>
        <v>0.0</v>
      </c>
    </row>
    <row r="38" spans="1:9" ht="28" customHeight="1">
      <c r="A38" s="4" t="s">
        <v>30</v>
      </c>
      <c r="B38" s="6">
        <v>2036</v>
      </c>
      <c r="C38" s="5">
        <v>17148603.13</v>
      </c>
      <c r="D38" s="5">
        <v>14670842.94</v>
      </c>
      <c r="E38" s="5">
        <v>0</v>
      </c>
      <c r="F38" s="5">
        <v>14670842.94</v>
      </c>
      <c r="G38" s="5">
        <v>-955283.8100000001</v>
      </c>
      <c r="H38" s="6">
        <v>2029</v>
      </c>
      <c r="I38" s="5">
        <f>ROUND(F38-D38+E38,2)</f>
        <v>0.0</v>
      </c>
    </row>
    <row r="39" spans="1:9" ht="28" customHeight="1">
      <c r="A39" s="4" t="s">
        <v>31</v>
      </c>
      <c r="B39" s="6">
        <v>2026</v>
      </c>
      <c r="C39" s="5">
        <v>3000000</v>
      </c>
      <c r="D39" s="5">
        <v>3780000</v>
      </c>
      <c r="E39" s="5">
        <v>0</v>
      </c>
      <c r="F39" s="5">
        <v>3780000</v>
      </c>
      <c r="G39" s="5">
        <v>780000</v>
      </c>
      <c r="H39" s="6">
        <v>2031</v>
      </c>
      <c r="I39" s="5">
        <f>ROUND(F39-D39+E39,2)</f>
        <v>0.0</v>
      </c>
    </row>
    <row r="40" spans="1:9" ht="28" customHeight="1">
      <c r="A40" s="4" t="s">
        <v>31</v>
      </c>
      <c r="B40" s="6">
        <v>2027</v>
      </c>
      <c r="C40" s="5">
        <v>8761710</v>
      </c>
      <c r="D40" s="5">
        <v>9181710</v>
      </c>
      <c r="E40" s="5">
        <v>0</v>
      </c>
      <c r="F40" s="5">
        <v>9181710</v>
      </c>
      <c r="G40" s="5">
        <v>381818.18</v>
      </c>
      <c r="H40" s="6">
        <v>2031</v>
      </c>
      <c r="I40" s="5">
        <f>ROUND(F40-D40+E40,2)</f>
        <v>0.0</v>
      </c>
    </row>
    <row r="41" spans="1:9" ht="28" customHeight="1">
      <c r="A41" s="4" t="s">
        <v>31</v>
      </c>
      <c r="B41" s="6">
        <v>2028</v>
      </c>
      <c r="C41" s="5">
        <v>5228516.2</v>
      </c>
      <c r="D41" s="5">
        <v>5228516.2</v>
      </c>
      <c r="E41" s="5">
        <v>0</v>
      </c>
      <c r="F41" s="5">
        <v>5228516.2</v>
      </c>
      <c r="G41" s="5">
        <v>0</v>
      </c>
      <c r="H41" s="6">
        <v>2031</v>
      </c>
      <c r="I41" s="5">
        <f>ROUND(F41-D41+E41,2)</f>
        <v>0.0</v>
      </c>
    </row>
    <row r="42" spans="1:9" ht="28" customHeight="1">
      <c r="A42" s="4" t="s">
        <v>31</v>
      </c>
      <c r="B42" s="6">
        <v>2029</v>
      </c>
      <c r="C42" s="5">
        <v>5262359.14</v>
      </c>
      <c r="D42" s="5">
        <v>9637359.140000001</v>
      </c>
      <c r="E42" s="5">
        <v>0</v>
      </c>
      <c r="F42" s="5">
        <v>9637359.140000001</v>
      </c>
      <c r="G42" s="5">
        <v>3287002.25</v>
      </c>
      <c r="H42" s="6">
        <v>2031</v>
      </c>
      <c r="I42" s="5">
        <f>ROUND(F42-D42+E42,2)</f>
        <v>0.0</v>
      </c>
    </row>
    <row r="43" spans="1:9" ht="28" customHeight="1">
      <c r="A43" s="4" t="s">
        <v>31</v>
      </c>
      <c r="B43" s="6">
        <v>2030</v>
      </c>
      <c r="C43" s="5">
        <v>5283350.63</v>
      </c>
      <c r="D43" s="5">
        <v>11708350.63</v>
      </c>
      <c r="E43" s="5">
        <v>0</v>
      </c>
      <c r="F43" s="5">
        <v>11708350.63</v>
      </c>
      <c r="G43" s="5">
        <v>4388361.45</v>
      </c>
      <c r="H43" s="6">
        <v>2031</v>
      </c>
      <c r="I43" s="5">
        <f>ROUND(F43-D43+E43,2)</f>
        <v>0.0</v>
      </c>
    </row>
    <row r="44" spans="1:9" ht="28" customHeight="1">
      <c r="A44" s="4" t="s">
        <v>31</v>
      </c>
      <c r="B44" s="6">
        <v>2031</v>
      </c>
      <c r="C44" s="5">
        <v>11370189.81</v>
      </c>
      <c r="D44" s="5">
        <v>12831404.33</v>
      </c>
      <c r="E44" s="5">
        <v>0</v>
      </c>
      <c r="F44" s="5">
        <v>12831404.33</v>
      </c>
      <c r="G44" s="5">
        <v>907299.26</v>
      </c>
      <c r="H44" s="6">
        <v>2031</v>
      </c>
      <c r="I44" s="5">
        <f>ROUND(F44-D44+E44,2)</f>
        <v>0.0</v>
      </c>
    </row>
    <row r="45" spans="1:9" ht="28" customHeight="1">
      <c r="A45" s="4" t="s">
        <v>31</v>
      </c>
      <c r="B45" s="6">
        <v>2032</v>
      </c>
      <c r="C45" s="5">
        <v>5722998.42</v>
      </c>
      <c r="D45" s="5">
        <v>6366026.75</v>
      </c>
      <c r="E45" s="5">
        <v>0</v>
      </c>
      <c r="F45" s="5">
        <v>6366026.75</v>
      </c>
      <c r="G45" s="5">
        <v>362972.73</v>
      </c>
      <c r="H45" s="6">
        <v>2031</v>
      </c>
      <c r="I45" s="5">
        <f>ROUND(F45-D45+E45,2)</f>
        <v>0.0</v>
      </c>
    </row>
    <row r="46" spans="1:9" ht="28" customHeight="1">
      <c r="A46" s="4" t="s">
        <v>31</v>
      </c>
      <c r="B46" s="6">
        <v>2033</v>
      </c>
      <c r="C46" s="5">
        <v>6073851.46</v>
      </c>
      <c r="D46" s="5">
        <v>6704114.95</v>
      </c>
      <c r="E46" s="5">
        <v>0</v>
      </c>
      <c r="F46" s="5">
        <v>6704114.95</v>
      </c>
      <c r="G46" s="5">
        <v>323424.83</v>
      </c>
      <c r="H46" s="6">
        <v>2031</v>
      </c>
      <c r="I46" s="5">
        <f>ROUND(F46-D46+E46,2)</f>
        <v>0.0</v>
      </c>
    </row>
    <row r="47" spans="1:9" ht="28" customHeight="1">
      <c r="A47" s="4" t="s">
        <v>31</v>
      </c>
      <c r="B47" s="6">
        <v>2034</v>
      </c>
      <c r="C47" s="5">
        <v>6711178.62</v>
      </c>
      <c r="D47" s="5">
        <v>7206504.41</v>
      </c>
      <c r="E47" s="5">
        <v>0</v>
      </c>
      <c r="F47" s="5">
        <v>7206504.41</v>
      </c>
      <c r="G47" s="5">
        <v>231073.14</v>
      </c>
      <c r="H47" s="6">
        <v>2031</v>
      </c>
      <c r="I47" s="5">
        <f>ROUND(F47-D47+E47,2)</f>
        <v>0.0</v>
      </c>
    </row>
    <row r="48" spans="1:9" ht="28" customHeight="1">
      <c r="A48" s="4" t="s">
        <v>31</v>
      </c>
      <c r="B48" s="6">
        <v>2035</v>
      </c>
      <c r="C48" s="5">
        <v>14327304.3</v>
      </c>
      <c r="D48" s="5">
        <v>14671645.95</v>
      </c>
      <c r="E48" s="5">
        <v>0</v>
      </c>
      <c r="F48" s="5">
        <v>14671645.95</v>
      </c>
      <c r="G48" s="5">
        <v>146034.47</v>
      </c>
      <c r="H48" s="6">
        <v>2031</v>
      </c>
      <c r="I48" s="5">
        <f>ROUND(F48-D48+E48,2)</f>
        <v>0.0</v>
      </c>
    </row>
    <row r="49" spans="1:9" ht="28" customHeight="1">
      <c r="A49" s="4" t="s">
        <v>31</v>
      </c>
      <c r="B49" s="6">
        <v>2036</v>
      </c>
      <c r="C49" s="5">
        <v>7604996.94</v>
      </c>
      <c r="D49" s="5">
        <v>8184868.53</v>
      </c>
      <c r="E49" s="5">
        <v>0</v>
      </c>
      <c r="F49" s="5">
        <v>8184868.53</v>
      </c>
      <c r="G49" s="5">
        <v>223565.6</v>
      </c>
      <c r="H49" s="6">
        <v>2031</v>
      </c>
      <c r="I49" s="5">
        <f>ROUND(F49-D49+E49,2)</f>
        <v>0.0</v>
      </c>
    </row>
  </sheetData>
  <autoFilter ref="A5:H49"/>
  <mergeCells count="2">
    <mergeCell ref="A1:H1"/>
    <mergeCell ref="A2:H3"/>
  </mergeCells>
  <pageMargins left="0.7" right="0.7" top="0.75" bottom="0.75" header="0.3" footer="0.3"/>
  <pageSetup paperSize="8" orientation="landscape"/>
  <headerFooter>
    <oddFooter>&amp;LSource-controlled synthetic design&amp;RPage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2" width="38.7109375" customWidth="1"/>
    <col min="3" max="6" width="17.7109375" customWidth="1"/>
  </cols>
  <sheetData>
    <row r="1" spans="1:6">
      <c r="A1" s="1" t="s">
        <v>48</v>
      </c>
      <c r="B1" s="1"/>
      <c r="C1" s="1"/>
      <c r="D1" s="1"/>
      <c r="E1" s="1"/>
    </row>
    <row r="2" spans="1:6" ht="25" customHeight="1">
      <c r="A2" s="2" t="s">
        <v>13</v>
      </c>
      <c r="B2" s="2"/>
      <c r="C2" s="2"/>
      <c r="D2" s="2"/>
      <c r="E2" s="2"/>
    </row>
    <row r="3" spans="1:6" ht="18" customHeight="1">
      <c r="A3" s="2"/>
      <c r="B3" s="2"/>
      <c r="C3" s="2"/>
      <c r="D3" s="2"/>
      <c r="E3" s="2"/>
    </row>
    <row r="5" spans="1:6" ht="36" customHeight="1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26</v>
      </c>
    </row>
    <row r="6" spans="1:6" ht="28" customHeight="1">
      <c r="A6" s="4" t="s">
        <v>54</v>
      </c>
      <c r="B6" s="4" t="s">
        <v>55</v>
      </c>
      <c r="C6" s="5">
        <v>3</v>
      </c>
      <c r="D6" s="5">
        <v>180000</v>
      </c>
      <c r="E6" s="5">
        <v>1</v>
      </c>
      <c r="F6" s="5">
        <f>ROUND(MAX(0,E6-1),2)</f>
        <v>0.0</v>
      </c>
    </row>
    <row r="7" spans="1:6" ht="28" customHeight="1">
      <c r="A7" s="4" t="s">
        <v>56</v>
      </c>
      <c r="B7" s="4" t="s">
        <v>57</v>
      </c>
      <c r="C7" s="5">
        <v>2</v>
      </c>
      <c r="D7" s="5">
        <v>180000</v>
      </c>
      <c r="E7" s="5">
        <v>1</v>
      </c>
      <c r="F7" s="5">
        <f>ROUND(MAX(0,E7-1),2)</f>
        <v>0.0</v>
      </c>
    </row>
    <row r="8" spans="1:6" ht="28" customHeight="1">
      <c r="A8" s="4" t="s">
        <v>58</v>
      </c>
      <c r="B8" s="4" t="s">
        <v>59</v>
      </c>
      <c r="C8" s="5">
        <v>2</v>
      </c>
      <c r="D8" s="5">
        <v>180000</v>
      </c>
      <c r="E8" s="5">
        <v>1</v>
      </c>
      <c r="F8" s="5">
        <f>ROUND(MAX(0,E8-1),2)</f>
        <v>0.0</v>
      </c>
    </row>
    <row r="9" spans="1:6" ht="28" customHeight="1">
      <c r="A9" s="4" t="s">
        <v>60</v>
      </c>
      <c r="B9" s="4" t="s">
        <v>61</v>
      </c>
      <c r="C9" s="5">
        <v>3</v>
      </c>
      <c r="D9" s="5">
        <v>185000</v>
      </c>
      <c r="E9" s="5">
        <v>1</v>
      </c>
      <c r="F9" s="5">
        <f>ROUND(MAX(0,E9-1),2)</f>
        <v>0.0</v>
      </c>
    </row>
    <row r="10" spans="1:6" ht="28" customHeight="1">
      <c r="A10" s="4" t="s">
        <v>62</v>
      </c>
      <c r="B10" s="4" t="s">
        <v>63</v>
      </c>
      <c r="C10" s="5">
        <v>2</v>
      </c>
      <c r="D10" s="5">
        <v>175000</v>
      </c>
      <c r="E10" s="5">
        <v>1</v>
      </c>
      <c r="F10" s="5">
        <f>ROUND(MAX(0,E10-1),2)</f>
        <v>0.0</v>
      </c>
    </row>
    <row r="11" spans="1:6" ht="28" customHeight="1">
      <c r="A11" s="4" t="s">
        <v>64</v>
      </c>
      <c r="B11" s="4" t="s">
        <v>65</v>
      </c>
      <c r="C11" s="5">
        <v>2</v>
      </c>
      <c r="D11" s="5">
        <v>165000</v>
      </c>
      <c r="E11" s="5">
        <v>1</v>
      </c>
      <c r="F11" s="5">
        <f>ROUND(MAX(0,E11-1),2)</f>
        <v>0.0</v>
      </c>
    </row>
    <row r="12" spans="1:6" ht="28" customHeight="1">
      <c r="A12" s="4" t="s">
        <v>66</v>
      </c>
      <c r="B12" s="4" t="s">
        <v>67</v>
      </c>
      <c r="C12" s="5">
        <v>2</v>
      </c>
      <c r="D12" s="5">
        <v>185000</v>
      </c>
      <c r="E12" s="5">
        <v>1</v>
      </c>
      <c r="F12" s="5">
        <f>ROUND(MAX(0,E12-1),2)</f>
        <v>0.0</v>
      </c>
    </row>
    <row r="13" spans="1:6" ht="28" customHeight="1">
      <c r="A13" s="4" t="s">
        <v>68</v>
      </c>
      <c r="B13" s="4" t="s">
        <v>69</v>
      </c>
      <c r="C13" s="5">
        <v>1</v>
      </c>
      <c r="D13" s="5">
        <v>190000</v>
      </c>
      <c r="E13" s="5">
        <v>1</v>
      </c>
      <c r="F13" s="5">
        <f>ROUND(MAX(0,E13-1),2)</f>
        <v>0.0</v>
      </c>
    </row>
    <row r="14" spans="1:6" ht="28" customHeight="1">
      <c r="A14" s="4" t="s">
        <v>70</v>
      </c>
      <c r="B14" s="4" t="s">
        <v>71</v>
      </c>
      <c r="C14" s="5">
        <v>2</v>
      </c>
      <c r="D14" s="5">
        <v>195000</v>
      </c>
      <c r="E14" s="5">
        <v>1</v>
      </c>
      <c r="F14" s="5">
        <f>ROUND(MAX(0,E14-1),2)</f>
        <v>0.0</v>
      </c>
    </row>
    <row r="15" spans="1:6" ht="28" customHeight="1">
      <c r="A15" s="4" t="s">
        <v>72</v>
      </c>
      <c r="B15" s="4" t="s">
        <v>73</v>
      </c>
      <c r="C15" s="5">
        <v>1</v>
      </c>
      <c r="D15" s="5">
        <v>145000</v>
      </c>
      <c r="E15" s="5">
        <v>1</v>
      </c>
      <c r="F15" s="5">
        <f>ROUND(MAX(0,E15-1),2)</f>
        <v>0.0</v>
      </c>
    </row>
  </sheetData>
  <autoFilter ref="A5:E15"/>
  <mergeCells count="2">
    <mergeCell ref="A1:E1"/>
    <mergeCell ref="A2:E3"/>
  </mergeCells>
  <pageMargins left="0.7" right="0.7" top="0.75" bottom="0.75" header="0.3" footer="0.3"/>
  <pageSetup paperSize="8" orientation="landscape"/>
  <headerFooter>
    <oddFooter>&amp;LSource-controlled synthetic design&amp;RPage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4" width="17.7109375" customWidth="1"/>
    <col min="5" max="5" width="34.7109375" customWidth="1"/>
    <col min="6" max="8" width="17.7109375" customWidth="1"/>
  </cols>
  <sheetData>
    <row r="1" spans="1:8">
      <c r="A1" s="1" t="s">
        <v>74</v>
      </c>
      <c r="B1" s="1"/>
      <c r="C1" s="1"/>
      <c r="D1" s="1"/>
      <c r="E1" s="1"/>
      <c r="F1" s="1"/>
      <c r="G1" s="1"/>
    </row>
    <row r="2" spans="1:8" ht="25" customHeight="1">
      <c r="A2" s="2" t="s">
        <v>13</v>
      </c>
      <c r="B2" s="2"/>
      <c r="C2" s="2"/>
      <c r="D2" s="2"/>
      <c r="E2" s="2"/>
      <c r="F2" s="2"/>
      <c r="G2" s="2"/>
    </row>
    <row r="3" spans="1:8" ht="18" customHeight="1">
      <c r="A3" s="2"/>
      <c r="B3" s="2"/>
      <c r="C3" s="2"/>
      <c r="D3" s="2"/>
      <c r="E3" s="2"/>
      <c r="F3" s="2"/>
      <c r="G3" s="2"/>
    </row>
    <row r="5" spans="1:8" ht="36" customHeight="1">
      <c r="A5" s="3" t="s">
        <v>49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26</v>
      </c>
    </row>
    <row r="6" spans="1:8" ht="28" customHeight="1">
      <c r="A6" s="4" t="s">
        <v>81</v>
      </c>
      <c r="B6" s="4" t="s">
        <v>82</v>
      </c>
      <c r="C6" s="4" t="s">
        <v>82</v>
      </c>
      <c r="D6" s="5">
        <v>3000000</v>
      </c>
      <c r="E6" s="4" t="s">
        <v>83</v>
      </c>
      <c r="F6" s="4" t="s">
        <v>82</v>
      </c>
      <c r="G6" s="5">
        <v>0</v>
      </c>
      <c r="H6" s="5">
        <f>ROUND(G6,2)</f>
        <v>0.0</v>
      </c>
    </row>
    <row r="7" spans="1:8" ht="28" customHeight="1">
      <c r="A7" s="4" t="s">
        <v>84</v>
      </c>
      <c r="B7" s="4" t="s">
        <v>85</v>
      </c>
      <c r="C7" s="4" t="s">
        <v>86</v>
      </c>
      <c r="D7" s="5">
        <v>200000</v>
      </c>
      <c r="E7" s="4" t="s">
        <v>87</v>
      </c>
      <c r="F7" s="4"/>
      <c r="G7" s="5">
        <v>0</v>
      </c>
      <c r="H7" s="5">
        <f>ROUND(G7,2)</f>
        <v>0.0</v>
      </c>
    </row>
    <row r="8" spans="1:8" ht="28" customHeight="1">
      <c r="A8" s="4" t="s">
        <v>88</v>
      </c>
      <c r="B8" s="4" t="s">
        <v>89</v>
      </c>
      <c r="C8" s="4" t="s">
        <v>90</v>
      </c>
      <c r="D8" s="5">
        <v>300000</v>
      </c>
      <c r="E8" s="4" t="s">
        <v>91</v>
      </c>
      <c r="F8" s="4"/>
      <c r="G8" s="5">
        <v>0</v>
      </c>
      <c r="H8" s="5">
        <f>ROUND(G8,2)</f>
        <v>0.0</v>
      </c>
    </row>
    <row r="9" spans="1:8" ht="28" customHeight="1">
      <c r="A9" s="4" t="s">
        <v>92</v>
      </c>
      <c r="B9" s="4" t="s">
        <v>93</v>
      </c>
      <c r="C9" s="4" t="s">
        <v>94</v>
      </c>
      <c r="D9" s="5">
        <v>700000</v>
      </c>
      <c r="E9" s="4" t="s">
        <v>95</v>
      </c>
      <c r="F9" s="4"/>
      <c r="G9" s="5">
        <v>0</v>
      </c>
      <c r="H9" s="5">
        <f>ROUND(G9,2)</f>
        <v>0.0</v>
      </c>
    </row>
    <row r="10" spans="1:8" ht="28" customHeight="1">
      <c r="A10" s="4" t="s">
        <v>96</v>
      </c>
      <c r="B10" s="4" t="s">
        <v>97</v>
      </c>
      <c r="C10" s="4" t="s">
        <v>98</v>
      </c>
      <c r="D10" s="5">
        <v>1000000</v>
      </c>
      <c r="E10" s="4" t="s">
        <v>95</v>
      </c>
      <c r="F10" s="4"/>
      <c r="G10" s="5">
        <v>0</v>
      </c>
      <c r="H10" s="5">
        <f>ROUND(G10,2)</f>
        <v>0.0</v>
      </c>
    </row>
    <row r="11" spans="1:8" ht="28" customHeight="1">
      <c r="A11" s="4" t="s">
        <v>99</v>
      </c>
      <c r="B11" s="4" t="s">
        <v>100</v>
      </c>
      <c r="C11" s="4" t="s">
        <v>101</v>
      </c>
      <c r="D11" s="5">
        <v>3500000</v>
      </c>
      <c r="E11" s="4" t="s">
        <v>95</v>
      </c>
      <c r="F11" s="4"/>
      <c r="G11" s="5">
        <v>0</v>
      </c>
      <c r="H11" s="5">
        <f>ROUND(G11,2)</f>
        <v>0.0</v>
      </c>
    </row>
    <row r="12" spans="1:8" ht="28" customHeight="1">
      <c r="A12" s="4" t="s">
        <v>102</v>
      </c>
      <c r="B12" s="4" t="s">
        <v>100</v>
      </c>
      <c r="C12" s="4" t="s">
        <v>101</v>
      </c>
      <c r="D12" s="5">
        <v>1000000</v>
      </c>
      <c r="E12" s="4" t="s">
        <v>95</v>
      </c>
      <c r="F12" s="4"/>
      <c r="G12" s="5">
        <v>0</v>
      </c>
      <c r="H12" s="5">
        <f>ROUND(G12,2)</f>
        <v>0.0</v>
      </c>
    </row>
    <row r="13" spans="1:8" ht="28" customHeight="1">
      <c r="A13" s="4" t="s">
        <v>103</v>
      </c>
      <c r="B13" s="4" t="s">
        <v>104</v>
      </c>
      <c r="C13" s="4" t="s">
        <v>105</v>
      </c>
      <c r="D13" s="5">
        <v>5000000</v>
      </c>
      <c r="E13" s="4" t="s">
        <v>106</v>
      </c>
      <c r="F13" s="4"/>
      <c r="G13" s="5">
        <v>0</v>
      </c>
      <c r="H13" s="5">
        <f>ROUND(G13,2)</f>
        <v>0.0</v>
      </c>
    </row>
    <row r="14" spans="1:8" ht="28" customHeight="1">
      <c r="A14" s="4" t="s">
        <v>107</v>
      </c>
      <c r="B14" s="4" t="s">
        <v>108</v>
      </c>
      <c r="C14" s="4" t="s">
        <v>109</v>
      </c>
      <c r="D14" s="5">
        <v>300000</v>
      </c>
      <c r="E14" s="4" t="s">
        <v>110</v>
      </c>
      <c r="F14" s="4"/>
      <c r="G14" s="5">
        <v>0</v>
      </c>
      <c r="H14" s="5">
        <f>ROUND(G14,2)</f>
        <v>0.0</v>
      </c>
    </row>
    <row r="15" spans="1:8" ht="28" customHeight="1">
      <c r="A15" s="4" t="s">
        <v>111</v>
      </c>
      <c r="B15" s="4" t="s">
        <v>112</v>
      </c>
      <c r="C15" s="4" t="s">
        <v>109</v>
      </c>
      <c r="D15" s="5">
        <v>500000</v>
      </c>
      <c r="E15" s="4" t="s">
        <v>113</v>
      </c>
      <c r="F15" s="4"/>
      <c r="G15" s="5">
        <v>0</v>
      </c>
      <c r="H15" s="5">
        <f>ROUND(G15,2)</f>
        <v>0.0</v>
      </c>
    </row>
  </sheetData>
  <autoFilter ref="A5:G15"/>
  <mergeCells count="2">
    <mergeCell ref="A1:G1"/>
    <mergeCell ref="A2:G3"/>
  </mergeCells>
  <pageMargins left="0.7" right="0.7" top="0.75" bottom="0.75" header="0.3" footer="0.3"/>
  <pageSetup paperSize="8" orientation="landscape"/>
  <headerFooter>
    <oddFooter>&amp;LSource-controlled synthetic design&amp;RPage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8" width="17.7109375" customWidth="1"/>
  </cols>
  <sheetData>
    <row r="1" spans="1:8">
      <c r="A1" s="1" t="s">
        <v>114</v>
      </c>
      <c r="B1" s="1"/>
      <c r="C1" s="1"/>
      <c r="D1" s="1"/>
      <c r="E1" s="1"/>
      <c r="F1" s="1"/>
      <c r="G1" s="1"/>
    </row>
    <row r="2" spans="1:8" ht="25" customHeight="1">
      <c r="A2" s="2" t="s">
        <v>13</v>
      </c>
      <c r="B2" s="2"/>
      <c r="C2" s="2"/>
      <c r="D2" s="2"/>
      <c r="E2" s="2"/>
      <c r="F2" s="2"/>
      <c r="G2" s="2"/>
    </row>
    <row r="3" spans="1:8" ht="18" customHeight="1">
      <c r="A3" s="2"/>
      <c r="B3" s="2"/>
      <c r="C3" s="2"/>
      <c r="D3" s="2"/>
      <c r="E3" s="2"/>
      <c r="F3" s="2"/>
      <c r="G3" s="2"/>
    </row>
    <row r="5" spans="1:8" ht="36" customHeight="1">
      <c r="A5" s="3" t="s">
        <v>14</v>
      </c>
      <c r="B5" s="3" t="s">
        <v>15</v>
      </c>
      <c r="C5" s="3" t="s">
        <v>115</v>
      </c>
      <c r="D5" s="3" t="s">
        <v>116</v>
      </c>
      <c r="E5" s="3" t="s">
        <v>117</v>
      </c>
      <c r="F5" s="3" t="s">
        <v>118</v>
      </c>
      <c r="G5" s="3" t="s">
        <v>119</v>
      </c>
      <c r="H5" s="3" t="s">
        <v>26</v>
      </c>
    </row>
    <row r="6" spans="1:8" ht="28" customHeight="1">
      <c r="A6" s="4" t="s">
        <v>3</v>
      </c>
      <c r="B6" s="6">
        <v>2026</v>
      </c>
      <c r="C6" s="5">
        <v>209697110.7667</v>
      </c>
      <c r="D6" s="5">
        <v>92443789.5668</v>
      </c>
      <c r="E6" s="5">
        <v>117253321.1999</v>
      </c>
      <c r="F6" s="5">
        <v>-7713098.6668</v>
      </c>
      <c r="G6" s="5">
        <v>8198440</v>
      </c>
      <c r="H6" s="5">
        <f>ROUND(C6-D6-E6,2)</f>
        <v>0.0</v>
      </c>
    </row>
    <row r="7" spans="1:8" ht="28" customHeight="1">
      <c r="A7" s="4" t="s">
        <v>3</v>
      </c>
      <c r="B7" s="6">
        <v>2027</v>
      </c>
      <c r="C7" s="5">
        <v>222460788.7849</v>
      </c>
      <c r="D7" s="5">
        <v>99128556.2825</v>
      </c>
      <c r="E7" s="5">
        <v>123332232.5024</v>
      </c>
      <c r="F7" s="5">
        <v>-11602847.6975</v>
      </c>
      <c r="G7" s="5">
        <v>8439655</v>
      </c>
      <c r="H7" s="5">
        <f>ROUND(C7-D7-E7,2)</f>
        <v>0.0</v>
      </c>
    </row>
    <row r="8" spans="1:8" ht="28" customHeight="1">
      <c r="A8" s="4" t="s">
        <v>3</v>
      </c>
      <c r="B8" s="6">
        <v>2028</v>
      </c>
      <c r="C8" s="5">
        <v>232372162.6662</v>
      </c>
      <c r="D8" s="5">
        <v>101845775.7197</v>
      </c>
      <c r="E8" s="5">
        <v>130526386.9465</v>
      </c>
      <c r="F8" s="5">
        <v>-6156782.5559</v>
      </c>
      <c r="G8" s="5">
        <v>11683039</v>
      </c>
      <c r="H8" s="5">
        <f>ROUND(C8-D8-E8,2)</f>
        <v>0.0</v>
      </c>
    </row>
    <row r="9" spans="1:8" ht="28" customHeight="1">
      <c r="A9" s="4" t="s">
        <v>3</v>
      </c>
      <c r="B9" s="6">
        <v>2029</v>
      </c>
      <c r="C9" s="5">
        <v>244543785.2153</v>
      </c>
      <c r="D9" s="5">
        <v>103120591.1948</v>
      </c>
      <c r="E9" s="5">
        <v>141423194.0205</v>
      </c>
      <c r="F9" s="5">
        <v>2954851.2775</v>
      </c>
      <c r="G9" s="5">
        <v>26897283.856</v>
      </c>
      <c r="H9" s="5">
        <f>ROUND(C9-D9-E9,2)</f>
        <v>0.0</v>
      </c>
    </row>
    <row r="10" spans="1:8" ht="28" customHeight="1">
      <c r="A10" s="4" t="s">
        <v>3</v>
      </c>
      <c r="B10" s="6">
        <v>2030</v>
      </c>
      <c r="C10" s="5">
        <v>257058705.3438</v>
      </c>
      <c r="D10" s="5">
        <v>102839746.4188</v>
      </c>
      <c r="E10" s="5">
        <v>154218958.925</v>
      </c>
      <c r="F10" s="5">
        <v>12795764.9045</v>
      </c>
      <c r="G10" s="5">
        <v>44643430.176</v>
      </c>
      <c r="H10" s="5">
        <f>ROUND(C10-D10-E10,2)</f>
        <v>0.0</v>
      </c>
    </row>
    <row r="11" spans="1:8" ht="28" customHeight="1">
      <c r="A11" s="4" t="s">
        <v>3</v>
      </c>
      <c r="B11" s="6">
        <v>2031</v>
      </c>
      <c r="C11" s="5">
        <v>274210236.9065</v>
      </c>
      <c r="D11" s="5">
        <v>101874826.9716</v>
      </c>
      <c r="E11" s="5">
        <v>172335409.9349</v>
      </c>
      <c r="F11" s="5">
        <v>18116451.0099</v>
      </c>
      <c r="G11" s="5">
        <v>59806731.4704</v>
      </c>
      <c r="H11" s="5">
        <f>ROUND(C11-D11-E11,2)</f>
        <v>0.0</v>
      </c>
    </row>
    <row r="12" spans="1:8" ht="28" customHeight="1">
      <c r="A12" s="4" t="s">
        <v>120</v>
      </c>
      <c r="B12" s="6">
        <v>2026</v>
      </c>
      <c r="C12" s="5">
        <v>209697110.7667</v>
      </c>
      <c r="D12" s="5">
        <v>92443789.5668</v>
      </c>
      <c r="E12" s="5">
        <v>117253321.1999</v>
      </c>
      <c r="F12" s="5">
        <v>-7713098.6668</v>
      </c>
      <c r="G12" s="5">
        <v>8198440</v>
      </c>
      <c r="H12" s="5">
        <f>ROUND(C12-D12-E12,2)</f>
        <v>0.0</v>
      </c>
    </row>
    <row r="13" spans="1:8" ht="28" customHeight="1">
      <c r="A13" s="4" t="s">
        <v>120</v>
      </c>
      <c r="B13" s="6">
        <v>2027</v>
      </c>
      <c r="C13" s="5">
        <v>222547911.9141</v>
      </c>
      <c r="D13" s="5">
        <v>127566316.5225</v>
      </c>
      <c r="E13" s="5">
        <v>94981595.3916</v>
      </c>
      <c r="F13" s="5">
        <v>-43464469.8083</v>
      </c>
      <c r="G13" s="5">
        <v>7751200</v>
      </c>
      <c r="H13" s="5">
        <f>ROUND(C13-D13-E13,2)</f>
        <v>0.0</v>
      </c>
    </row>
    <row r="14" spans="1:8" ht="28" customHeight="1">
      <c r="A14" s="4" t="s">
        <v>120</v>
      </c>
      <c r="B14" s="6">
        <v>2028</v>
      </c>
      <c r="C14" s="5">
        <v>228774285.3086</v>
      </c>
      <c r="D14" s="5">
        <v>161592572.3917</v>
      </c>
      <c r="E14" s="5">
        <v>67181712.91689999</v>
      </c>
      <c r="F14" s="5">
        <v>-44111011.4747</v>
      </c>
      <c r="G14" s="5">
        <v>7356664</v>
      </c>
      <c r="H14" s="5">
        <f>ROUND(C14-D14-E14,2)</f>
        <v>0.0</v>
      </c>
    </row>
    <row r="15" spans="1:8" ht="28" customHeight="1">
      <c r="A15" s="4" t="s">
        <v>120</v>
      </c>
      <c r="B15" s="6">
        <v>2029</v>
      </c>
      <c r="C15" s="5">
        <v>225969600.5208</v>
      </c>
      <c r="D15" s="5">
        <v>183879099.2197</v>
      </c>
      <c r="E15" s="5">
        <v>42090501.3011</v>
      </c>
      <c r="F15" s="5">
        <v>-40479996.6158</v>
      </c>
      <c r="G15" s="5">
        <v>5461131</v>
      </c>
      <c r="H15" s="5">
        <f>ROUND(C15-D15-E15,2)</f>
        <v>-0.0</v>
      </c>
    </row>
    <row r="16" spans="1:8" ht="28" customHeight="1">
      <c r="A16" s="4" t="s">
        <v>120</v>
      </c>
      <c r="B16" s="6">
        <v>2030</v>
      </c>
      <c r="C16" s="5">
        <v>226243459.4178</v>
      </c>
      <c r="D16" s="5">
        <v>195438527.3909</v>
      </c>
      <c r="E16" s="5">
        <v>30804932.0269</v>
      </c>
      <c r="F16" s="5">
        <v>-34101849.2742</v>
      </c>
      <c r="G16" s="5">
        <v>5149392</v>
      </c>
      <c r="H16" s="5">
        <f>ROUND(C16-D16-E16,2)</f>
        <v>0.0</v>
      </c>
    </row>
    <row r="17" spans="1:8" ht="28" customHeight="1">
      <c r="A17" s="4" t="s">
        <v>120</v>
      </c>
      <c r="B17" s="6">
        <v>2031</v>
      </c>
      <c r="C17" s="5">
        <v>225249158.3385</v>
      </c>
      <c r="D17" s="5">
        <v>199579450.1941</v>
      </c>
      <c r="E17" s="5">
        <v>25669708.1444</v>
      </c>
      <c r="F17" s="5">
        <v>-29160555.8825</v>
      </c>
      <c r="G17" s="5">
        <v>4834452</v>
      </c>
      <c r="H17" s="5">
        <f>ROUND(C17-D17-E17,2)</f>
        <v>0.0</v>
      </c>
    </row>
    <row r="18" spans="1:8" ht="28" customHeight="1">
      <c r="A18" s="4" t="s">
        <v>121</v>
      </c>
      <c r="B18" s="6">
        <v>2026</v>
      </c>
      <c r="C18" s="5">
        <v>209697110.7667</v>
      </c>
      <c r="D18" s="5">
        <v>92443789.5668</v>
      </c>
      <c r="E18" s="5">
        <v>117253321.1999</v>
      </c>
      <c r="F18" s="5">
        <v>-7713098.6668</v>
      </c>
      <c r="G18" s="5">
        <v>8198440</v>
      </c>
      <c r="H18" s="5">
        <f>ROUND(C18-D18-E18,2)</f>
        <v>0.0</v>
      </c>
    </row>
    <row r="19" spans="1:8" ht="28" customHeight="1">
      <c r="A19" s="4" t="s">
        <v>121</v>
      </c>
      <c r="B19" s="6">
        <v>2027</v>
      </c>
      <c r="C19" s="5">
        <v>226338281.0505</v>
      </c>
      <c r="D19" s="5">
        <v>97189677.32790001</v>
      </c>
      <c r="E19" s="5">
        <v>129148603.7226</v>
      </c>
      <c r="F19" s="5">
        <v>-9307480.477299999</v>
      </c>
      <c r="G19" s="5">
        <v>5604659</v>
      </c>
      <c r="H19" s="5">
        <f>ROUND(C19-D19-E19,2)</f>
        <v>0.0</v>
      </c>
    </row>
    <row r="20" spans="1:8" ht="28" customHeight="1">
      <c r="A20" s="4" t="s">
        <v>121</v>
      </c>
      <c r="B20" s="6">
        <v>2028</v>
      </c>
      <c r="C20" s="5">
        <v>248658014.2988</v>
      </c>
      <c r="D20" s="5">
        <v>99230182.1356</v>
      </c>
      <c r="E20" s="5">
        <v>149427832.1632</v>
      </c>
      <c r="F20" s="5">
        <v>-1108878.4257</v>
      </c>
      <c r="G20" s="5">
        <v>9056450</v>
      </c>
      <c r="H20" s="5">
        <f>ROUND(C20-D20-E20,2)</f>
        <v>0.0</v>
      </c>
    </row>
    <row r="21" spans="1:8" ht="28" customHeight="1">
      <c r="A21" s="4" t="s">
        <v>121</v>
      </c>
      <c r="B21" s="6">
        <v>2029</v>
      </c>
      <c r="C21" s="5">
        <v>270778795.7575</v>
      </c>
      <c r="D21" s="5">
        <v>105272642.4636</v>
      </c>
      <c r="E21" s="5">
        <v>165506153.2939</v>
      </c>
      <c r="F21" s="5">
        <v>10193533.6254</v>
      </c>
      <c r="G21" s="5">
        <v>29713487.2589</v>
      </c>
      <c r="H21" s="5">
        <f>ROUND(C21-D21-E21,2)</f>
        <v>0.0</v>
      </c>
    </row>
    <row r="22" spans="1:8" ht="28" customHeight="1">
      <c r="A22" s="4" t="s">
        <v>121</v>
      </c>
      <c r="B22" s="6">
        <v>2030</v>
      </c>
      <c r="C22" s="5">
        <v>293846026.1345</v>
      </c>
      <c r="D22" s="5">
        <v>105392117.9243</v>
      </c>
      <c r="E22" s="5">
        <v>188453908.2102</v>
      </c>
      <c r="F22" s="5">
        <v>22947754.9163</v>
      </c>
      <c r="G22" s="5">
        <v>55964511.4897</v>
      </c>
      <c r="H22" s="5">
        <f>ROUND(C22-D22-E22,2)</f>
        <v>0.0</v>
      </c>
    </row>
    <row r="23" spans="1:8" ht="28" customHeight="1">
      <c r="A23" s="4" t="s">
        <v>121</v>
      </c>
      <c r="B23" s="6">
        <v>2031</v>
      </c>
      <c r="C23" s="5">
        <v>323529686.9231</v>
      </c>
      <c r="D23" s="5">
        <v>104255265.0024</v>
      </c>
      <c r="E23" s="5">
        <v>219274421.9207</v>
      </c>
      <c r="F23" s="5">
        <v>30820513.7105</v>
      </c>
      <c r="G23" s="5">
        <v>83963276.5213</v>
      </c>
      <c r="H23" s="5">
        <f>ROUND(C23-D23-E23,2)</f>
        <v>0.0</v>
      </c>
    </row>
  </sheetData>
  <autoFilter ref="A5:G23"/>
  <mergeCells count="2">
    <mergeCell ref="A1:G1"/>
    <mergeCell ref="A2:G3"/>
  </mergeCells>
  <pageMargins left="0.7" right="0.7" top="0.75" bottom="0.75" header="0.3" footer="0.3"/>
  <pageSetup paperSize="8" orientation="landscape"/>
  <headerFooter>
    <oddFooter>&amp;LSource-controlled synthetic design&amp;RPage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Summary</vt:lpstr>
      <vt:lpstr>Capacity</vt:lpstr>
      <vt:lpstr>Cash requests</vt:lpstr>
      <vt:lpstr>Investment</vt:lpstr>
      <vt:lpstr>Workforce</vt:lpstr>
      <vt:lpstr>Phases</vt:lpstr>
      <vt:lpstr>Enterprise</vt:lpstr>
      <vt:lpstr>Capacity!Print_Area</vt:lpstr>
      <vt:lpstr>'Cash requests'!Print_Area</vt:lpstr>
      <vt:lpstr>Enterprise!Print_Area</vt:lpstr>
      <vt:lpstr>Investment!Print_Area</vt:lpstr>
      <vt:lpstr>Phases!Print_Area</vt:lpstr>
      <vt:lpstr>Summary!Print_Area</vt:lpstr>
      <vt:lpstr>Workforce!Print_Area</vt:lpstr>
      <vt:lpstr>Capacity!Print_Titles</vt:lpstr>
      <vt:lpstr>'Cash requests'!Print_Titles</vt:lpstr>
      <vt:lpstr>Enterprise!Print_Titles</vt:lpstr>
      <vt:lpstr>Investment!Print_Titles</vt:lpstr>
      <vt:lpstr>Phases!Print_Titles</vt:lpstr>
      <vt:lpstr>Workforce!Print_Titles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Runtime estate synthetic design review</dc:title>
  <dc:creator>Sable Harbor synthetic archive</dc:creator>
  <cp:lastModifiedBy>Sable Harbor synthetic archive</cp:lastModifiedBy>
  <dcterms:created xsi:type="dcterms:W3CDTF">2026-09-11T00:00:00Z</dcterms:created>
  <dcterms:modified xsi:type="dcterms:W3CDTF">2026-09-11T00:00:00Z</dcterms:modified>
</cp:coreProperties>
</file>