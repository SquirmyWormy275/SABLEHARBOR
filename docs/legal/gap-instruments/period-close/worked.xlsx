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Opening" sheetId="2" r:id="rId2"/>
    <sheet name="Activity" sheetId="3" r:id="rId3"/>
    <sheet name="Bank events" sheetId="4" r:id="rId4"/>
    <sheet name="Bank inputs" sheetId="5" r:id="rId5"/>
    <sheet name="Receivables" sheetId="6" r:id="rId6"/>
    <sheet name="Payables" sheetId="7" r:id="rId7"/>
    <sheet name="Five reconciliations" sheetId="8" r:id="rId8"/>
    <sheet name="Debt" sheetId="9" r:id="rId9"/>
    <sheet name="PPE detail" sheetId="10" r:id="rId10"/>
    <sheet name="PPE" sheetId="11" r:id="rId11"/>
    <sheet name="Adjustments" sheetId="12" r:id="rId12"/>
    <sheet name="Closing TB" sheetId="13" r:id="rId13"/>
    <sheet name="Income statement" sheetId="14" r:id="rId14"/>
    <sheet name="Balance sheet" sheetId="15" r:id="rId15"/>
    <sheet name="Statements" sheetId="16" r:id="rId16"/>
    <sheet name="Source index" sheetId="17" r:id="rId17"/>
  </sheets>
  <definedNames>
    <definedName name="_xlnm.Print_Area" localSheetId="2">Activity!$A$1:$G$278</definedName>
    <definedName name="_xlnm.Print_Area" localSheetId="11">Adjustments!$A$1:$D$5</definedName>
    <definedName name="_xlnm.Print_Area" localSheetId="14">'Balance sheet'!$A$1:$D$29</definedName>
    <definedName name="_xlnm.Print_Area" localSheetId="3">'Bank events'!$A$1:$E$37</definedName>
    <definedName name="_xlnm.Print_Area" localSheetId="4">'Bank inputs'!$A$1:$B$12</definedName>
    <definedName name="_xlnm.Print_Area" localSheetId="12">'Closing TB'!$A$1:$H$38</definedName>
    <definedName name="_xlnm.Print_Area" localSheetId="8">Debt!$A$1:$F$8</definedName>
    <definedName name="_xlnm.Print_Area" localSheetId="7">'Five reconciliations'!$A$1:$E$22</definedName>
    <definedName name="_xlnm.Print_Area" localSheetId="13">'Income statement'!$A$1:$D$14</definedName>
    <definedName name="_xlnm.Print_Area" localSheetId="1">Opening!$A$1:$C$26</definedName>
    <definedName name="_xlnm.Print_Area" localSheetId="6">Payables!$A$1:$E$77</definedName>
    <definedName name="_xlnm.Print_Area" localSheetId="9">'PPE detail'!$A$1:$E$12</definedName>
    <definedName name="_xlnm.Print_Area" localSheetId="10">PPE!$A$1:$F$12</definedName>
    <definedName name="_xlnm.Print_Area" localSheetId="0">'Read first'!$A$1:$B$16</definedName>
    <definedName name="_xlnm.Print_Area" localSheetId="5">Receivables!$A$1:$E$34</definedName>
    <definedName name="_xlnm.Print_Area" localSheetId="16">'Source index'!$A$1:$C$12</definedName>
    <definedName name="_xlnm.Print_Area" localSheetId="15">Statements!$A$1:$D$13</definedName>
    <definedName name="_xlnm.Print_Titles" localSheetId="2">Activity!$1:$4</definedName>
    <definedName name="_xlnm.Print_Titles" localSheetId="11">Adjustments!$1:$4</definedName>
    <definedName name="_xlnm.Print_Titles" localSheetId="14">'Balance sheet'!$1:$4</definedName>
    <definedName name="_xlnm.Print_Titles" localSheetId="3">'Bank events'!$1:$4</definedName>
    <definedName name="_xlnm.Print_Titles" localSheetId="4">'Bank inputs'!$1:$4</definedName>
    <definedName name="_xlnm.Print_Titles" localSheetId="12">'Closing TB'!$1:$4</definedName>
    <definedName name="_xlnm.Print_Titles" localSheetId="8">Debt!$1:$4</definedName>
    <definedName name="_xlnm.Print_Titles" localSheetId="7">'Five reconciliations'!$1:$4</definedName>
    <definedName name="_xlnm.Print_Titles" localSheetId="13">'Income statement'!$1:$4</definedName>
    <definedName name="_xlnm.Print_Titles" localSheetId="1">Opening!$1:$4</definedName>
    <definedName name="_xlnm.Print_Titles" localSheetId="6">Payables!$1:$4</definedName>
    <definedName name="_xlnm.Print_Titles" localSheetId="9">'PPE detail'!$1:$4</definedName>
    <definedName name="_xlnm.Print_Titles" localSheetId="10">PPE!$1:$4</definedName>
    <definedName name="_xlnm.Print_Titles" localSheetId="0">'Read first'!$1:$4</definedName>
    <definedName name="_xlnm.Print_Titles" localSheetId="5">Receivables!$1:$4</definedName>
    <definedName name="_xlnm.Print_Titles" localSheetId="16">'Source index'!$1:$4</definedName>
    <definedName name="_xlnm.Print_Titles" localSheetId="15">Statements!$1:$4</definedName>
  </definedNames>
  <calcPr calcId="124519" fullCalcOnLoad="1"/>
</workbook>
</file>

<file path=xl/sharedStrings.xml><?xml version="1.0" encoding="utf-8"?>
<sst xmlns="http://schemas.openxmlformats.org/spreadsheetml/2006/main" count="1872" uniqueCount="523">
  <si>
    <t>Read first</t>
  </si>
  <si>
    <t>Item</t>
  </si>
  <si>
    <t>Instruction / boundary</t>
  </si>
  <si>
    <t>Scope</t>
  </si>
  <si>
    <t>ARU_GROUP industrial reporting book; base scenario; January 2027</t>
  </si>
  <si>
    <t>Task</t>
  </si>
  <si>
    <t>Roll opening balances through all January activity; prepare five reconciliations, assess adjustments, then complete closing TB and statements.</t>
  </si>
  <si>
    <t>Start</t>
  </si>
  <si>
    <t>Opening and Activity are source inputs. Yellow cells are learner responses; worked version contains formulas.</t>
  </si>
  <si>
    <t>Evidence</t>
  </si>
  <si>
    <t>All original columns and rows are preserved in source/*.csv and close.sqlite3. Workbook rows are a readable projection, not additional transactions.</t>
  </si>
  <si>
    <t>Sign</t>
  </si>
  <si>
    <t>Positive balances are debits. Liabilities and equity are credit-negative in the TB; statements show positive liability/equity balances.</t>
  </si>
  <si>
    <t>Adjustment rule</t>
  </si>
  <si>
    <t>No unexplained numerical difference in the selected records. Zero new entries; missing independent evidence does not justify a plug.</t>
  </si>
  <si>
    <t>Limit 1</t>
  </si>
  <si>
    <t>ARU_GROUP is the native industrial reporting scope, not a claim of a single statutory legal entity. Do not add Core, enterprise replacement or allocated legal books.</t>
  </si>
  <si>
    <t>Limit 2</t>
  </si>
  <si>
    <t>Bank records are modeled clearing events. Obtain a bank-issued statement and subsequent clearing evidence before concluding independent cash existence.</t>
  </si>
  <si>
    <t>Limit 3</t>
  </si>
  <si>
    <t>Account 1100 is external receivables net of allowance. This case supplies complete ledger movement, not independent gross aging or allowance adequacy evidence.</t>
  </si>
  <si>
    <t>Limit 4</t>
  </si>
  <si>
    <t>Account 2000 is trade payables including forecast settlement flows. Obtain a dated supplier open-item schedule and subsequent disbursements; terminal invoice masters are not month-end balances.</t>
  </si>
  <si>
    <t>Limit 5</t>
  </si>
  <si>
    <t>PPE schedule covers accounts 1400/1490; finance-lease ROU accounts 1500/1590 remain separately visible in the complete trial balance. Physical existence, title, useful lives and executed debt terms require additional evidence.</t>
  </si>
  <si>
    <t>Limit 6</t>
  </si>
  <si>
    <t>These are public source-derived learning examples, not private assessment keys, audited results or a completed corporate close.</t>
  </si>
  <si>
    <t>Opening</t>
  </si>
  <si>
    <t>Account</t>
  </si>
  <si>
    <t>Name</t>
  </si>
  <si>
    <t>Opening USD</t>
  </si>
  <si>
    <t>1000</t>
  </si>
  <si>
    <t>Cash</t>
  </si>
  <si>
    <t>1100</t>
  </si>
  <si>
    <t>External receivables, net of allowance</t>
  </si>
  <si>
    <t>1150</t>
  </si>
  <si>
    <t>Intercompany receivable</t>
  </si>
  <si>
    <t>1200</t>
  </si>
  <si>
    <t>Inventory cash cost</t>
  </si>
  <si>
    <t>1300</t>
  </si>
  <si>
    <t>Prepaids</t>
  </si>
  <si>
    <t>1400</t>
  </si>
  <si>
    <t>PPE gross</t>
  </si>
  <si>
    <t>1490</t>
  </si>
  <si>
    <t>Accumulated PPE depreciation</t>
  </si>
  <si>
    <t>1500</t>
  </si>
  <si>
    <t>Finance lease ROU gross</t>
  </si>
  <si>
    <t>1590</t>
  </si>
  <si>
    <t>Accumulated finance lease ROU depreciation</t>
  </si>
  <si>
    <t>1600</t>
  </si>
  <si>
    <t>Goodwill</t>
  </si>
  <si>
    <t>1700</t>
  </si>
  <si>
    <t>Debt issuance cost, contra term debt</t>
  </si>
  <si>
    <t>1800</t>
  </si>
  <si>
    <t>Deferred tax asset on reserved liabilities</t>
  </si>
  <si>
    <t>2000</t>
  </si>
  <si>
    <t>Trade payables</t>
  </si>
  <si>
    <t>2100</t>
  </si>
  <si>
    <t>Operating accruals</t>
  </si>
  <si>
    <t>2110</t>
  </si>
  <si>
    <t>Retention compensation payable</t>
  </si>
  <si>
    <t>2200</t>
  </si>
  <si>
    <t>Environmental reserve / ARO</t>
  </si>
  <si>
    <t>2250</t>
  </si>
  <si>
    <t>Deferred tax liability on tax goodwill amortization</t>
  </si>
  <si>
    <t>2300</t>
  </si>
  <si>
    <t>Claim reserve / other liabilities</t>
  </si>
  <si>
    <t>2400</t>
  </si>
  <si>
    <t>Term debt face value</t>
  </si>
  <si>
    <t>2600</t>
  </si>
  <si>
    <t>Finance lease obligation</t>
  </si>
  <si>
    <t>3000</t>
  </si>
  <si>
    <t>Contributed equity</t>
  </si>
  <si>
    <t>3100</t>
  </si>
  <si>
    <t>Prior retained earnings</t>
  </si>
  <si>
    <t>Activity</t>
  </si>
  <si>
    <t>Journal ID</t>
  </si>
  <si>
    <t>Source ID</t>
  </si>
  <si>
    <t>Debit USD</t>
  </si>
  <si>
    <t>Credit USD</t>
  </si>
  <si>
    <t>Signed USD</t>
  </si>
  <si>
    <t>Cash flow</t>
  </si>
  <si>
    <t>base-ARU_GROUP-2027-000002</t>
  </si>
  <si>
    <t>SALE-base-202701-BST-2025-001</t>
  </si>
  <si>
    <t>NONCASH_OR_OPENING</t>
  </si>
  <si>
    <t>4000</t>
  </si>
  <si>
    <t>base-ARU_GROUP-2027-000003</t>
  </si>
  <si>
    <t>SALE-base-202701-BST-2025-006</t>
  </si>
  <si>
    <t>base-ARU_GROUP-2027-000004</t>
  </si>
  <si>
    <t>SALE-base-202701-BST-2025-002</t>
  </si>
  <si>
    <t>base-ARU_GROUP-2027-000005</t>
  </si>
  <si>
    <t>SALE-base-202701-BST-2025-007</t>
  </si>
  <si>
    <t>base-ARU_GROUP-2027-000006</t>
  </si>
  <si>
    <t>SALE-base-202701-BST-2025-004</t>
  </si>
  <si>
    <t>base-ARU_GROUP-2027-000007</t>
  </si>
  <si>
    <t>SALE-base-202701-BST-2025-008</t>
  </si>
  <si>
    <t>base-ARU_GROUP-2027-000008</t>
  </si>
  <si>
    <t>SALE-base-202701-BST-2025-003</t>
  </si>
  <si>
    <t>base-ARU_GROUP-2027-000009</t>
  </si>
  <si>
    <t>SALE-base-202701-BST-2025-009</t>
  </si>
  <si>
    <t>base-ARU_GROUP-2027-000010</t>
  </si>
  <si>
    <t>SALE-base-202701-BST-2025-010</t>
  </si>
  <si>
    <t>base-ARU_GROUP-2027-000011</t>
  </si>
  <si>
    <t>SALE-base-202701-BST-2025-011</t>
  </si>
  <si>
    <t>base-ARU_GROUP-2027-000012</t>
  </si>
  <si>
    <t>SALE-base-202701-BST-2025-012</t>
  </si>
  <si>
    <t>base-ARU_GROUP-2027-000013</t>
  </si>
  <si>
    <t>SALE-base-202701-BST-2025-013</t>
  </si>
  <si>
    <t>base-ARU_GROUP-2027-000014</t>
  </si>
  <si>
    <t>SALE-base-202701-TRM-2025-001</t>
  </si>
  <si>
    <t>base-ARU_GROUP-2027-000015</t>
  </si>
  <si>
    <t>SALE-base-202701-TRM-2025-002</t>
  </si>
  <si>
    <t>base-ARU_GROUP-2027-000016</t>
  </si>
  <si>
    <t>SALE-base-202701-TRM-2025-003</t>
  </si>
  <si>
    <t>base-ARU_GROUP-2027-000017</t>
  </si>
  <si>
    <t>SALE-base-202701-TRM-2025-014</t>
  </si>
  <si>
    <t>base-ARU_GROUP-2027-000018</t>
  </si>
  <si>
    <t>SALE-base-202701-TRM-2025-015</t>
  </si>
  <si>
    <t>base-ARU_GROUP-2027-000019</t>
  </si>
  <si>
    <t>SALE-base-202701-TRM-2025-016</t>
  </si>
  <si>
    <t>base-ARU_GROUP-2027-000020</t>
  </si>
  <si>
    <t>SALE-base-202701-TRM-2025-017</t>
  </si>
  <si>
    <t>base-ARU_GROUP-2027-000021</t>
  </si>
  <si>
    <t>SALE-base-202701-TRM-2025-018</t>
  </si>
  <si>
    <t>base-ARU_GROUP-2027-000022</t>
  </si>
  <si>
    <t>SALE-base-202701-TRK-2025-004</t>
  </si>
  <si>
    <t>base-ARU_GROUP-2027-000023</t>
  </si>
  <si>
    <t>SALE-base-202701-TRK-2025-019</t>
  </si>
  <si>
    <t>base-ARU_GROUP-2027-000024</t>
  </si>
  <si>
    <t>SALE-base-202701-TRK-2025-020</t>
  </si>
  <si>
    <t>base-ARU_GROUP-2027-000025</t>
  </si>
  <si>
    <t>SALE-base-202701-TRK-2025-021</t>
  </si>
  <si>
    <t>base-ARU_GROUP-2027-000026</t>
  </si>
  <si>
    <t>SALE-base-202701-TRK-2025-022</t>
  </si>
  <si>
    <t>base-ARU_GROUP-2027-000027</t>
  </si>
  <si>
    <t>SALE-base-202701-WHS-2025-005</t>
  </si>
  <si>
    <t>base-ARU_GROUP-2027-000028</t>
  </si>
  <si>
    <t>SALE-base-202701-WHS-2025-023</t>
  </si>
  <si>
    <t>base-ARU_GROUP-2027-000029</t>
  </si>
  <si>
    <t>SALE-base-202701-WHS-2025-024</t>
  </si>
  <si>
    <t>base-ARU_GROUP-2027-000030</t>
  </si>
  <si>
    <t>SALE-base-202701-WHS-2025-025</t>
  </si>
  <si>
    <t>base-ARU_GROUP-2027-000031</t>
  </si>
  <si>
    <t>5000</t>
  </si>
  <si>
    <t>PAYROLL-base-202701-BST</t>
  </si>
  <si>
    <t>base-ARU_GROUP-2027-000032</t>
  </si>
  <si>
    <t>5100</t>
  </si>
  <si>
    <t>PROC-base-202701-BST-MAT</t>
  </si>
  <si>
    <t>base-ARU_GROUP-2027-000033</t>
  </si>
  <si>
    <t>PROC-base-202701-BST-MAINT</t>
  </si>
  <si>
    <t>base-ARU_GROUP-2027-000034</t>
  </si>
  <si>
    <t>PROC-base-202701-BST-OCC</t>
  </si>
  <si>
    <t>base-ARU_GROUP-2027-000035</t>
  </si>
  <si>
    <t>PROC-base-202701-BST-INS</t>
  </si>
  <si>
    <t>base-ARU_GROUP-2027-000036</t>
  </si>
  <si>
    <t>PROC-base-202701-BST-SERV</t>
  </si>
  <si>
    <t>base-ARU_GROUP-2027-000038</t>
  </si>
  <si>
    <t>PAYROLL-base-202701-TERMINALS</t>
  </si>
  <si>
    <t>base-ARU_GROUP-2027-000039</t>
  </si>
  <si>
    <t>PROC-base-202701-TERMINALS-MAT</t>
  </si>
  <si>
    <t>base-ARU_GROUP-2027-000040</t>
  </si>
  <si>
    <t>PROC-base-202701-TERMINALS-MAINT</t>
  </si>
  <si>
    <t>base-ARU_GROUP-2027-000041</t>
  </si>
  <si>
    <t>PROC-base-202701-TERMINALS-OCC</t>
  </si>
  <si>
    <t>base-ARU_GROUP-2027-000042</t>
  </si>
  <si>
    <t>PROC-base-202701-TERMINALS-INS</t>
  </si>
  <si>
    <t>base-ARU_GROUP-2027-000043</t>
  </si>
  <si>
    <t>PROC-base-202701-TERMINALS-SERV</t>
  </si>
  <si>
    <t>base-ARU_GROUP-2027-000045</t>
  </si>
  <si>
    <t>PAYROLL-base-202701-TRUCKING</t>
  </si>
  <si>
    <t>base-ARU_GROUP-2027-000046</t>
  </si>
  <si>
    <t>PROC-base-202701-TRUCKING-MAT</t>
  </si>
  <si>
    <t>base-ARU_GROUP-2027-000047</t>
  </si>
  <si>
    <t>PROC-base-202701-TRUCKING-MAINT</t>
  </si>
  <si>
    <t>base-ARU_GROUP-2027-000048</t>
  </si>
  <si>
    <t>PROC-base-202701-TRUCKING-OCC</t>
  </si>
  <si>
    <t>base-ARU_GROUP-2027-000049</t>
  </si>
  <si>
    <t>PROC-base-202701-TRUCKING-INS</t>
  </si>
  <si>
    <t>base-ARU_GROUP-2027-000050</t>
  </si>
  <si>
    <t>PROC-base-202701-TRUCKING-SERV</t>
  </si>
  <si>
    <t>base-ARU_GROUP-2027-000052</t>
  </si>
  <si>
    <t>PAYROLL-base-202701-WAREHOUSE</t>
  </si>
  <si>
    <t>base-ARU_GROUP-2027-000053</t>
  </si>
  <si>
    <t>PROC-base-202701-WAREHOUSE-MAT</t>
  </si>
  <si>
    <t>base-ARU_GROUP-2027-000054</t>
  </si>
  <si>
    <t>PROC-base-202701-WAREHOUSE-MAINT</t>
  </si>
  <si>
    <t>base-ARU_GROUP-2027-000055</t>
  </si>
  <si>
    <t>PROC-base-202701-WAREHOUSE-OCC</t>
  </si>
  <si>
    <t>base-ARU_GROUP-2027-000056</t>
  </si>
  <si>
    <t>PROC-base-202701-WAREHOUSE-INS</t>
  </si>
  <si>
    <t>base-ARU_GROUP-2027-000057</t>
  </si>
  <si>
    <t>PROC-base-202701-WAREHOUSE-SERV</t>
  </si>
  <si>
    <t>base-ARU_GROUP-2027-000059</t>
  </si>
  <si>
    <t>PAYROLL-base-202701-ARU</t>
  </si>
  <si>
    <t>base-ARU_GROUP-2027-000060</t>
  </si>
  <si>
    <t>PROC-base-202701-ARU-MAT</t>
  </si>
  <si>
    <t>base-ARU_GROUP-2027-000061</t>
  </si>
  <si>
    <t>PROC-base-202701-ARU-MAINT</t>
  </si>
  <si>
    <t>base-ARU_GROUP-2027-000062</t>
  </si>
  <si>
    <t>PROC-base-202701-ARU-OCC</t>
  </si>
  <si>
    <t>base-ARU_GROUP-2027-000063</t>
  </si>
  <si>
    <t>PROC-base-202701-ARU-INS</t>
  </si>
  <si>
    <t>base-ARU_GROUP-2027-000064</t>
  </si>
  <si>
    <t>PROC-base-202701-ARU-SERV</t>
  </si>
  <si>
    <t>base-ARU_GROUP-2027-000065</t>
  </si>
  <si>
    <t>5700</t>
  </si>
  <si>
    <t>FINAL-RETENTION-SERVICE</t>
  </si>
  <si>
    <t>base-ARU_GROUP-2027-000066</t>
  </si>
  <si>
    <t>SPARES-base-202701</t>
  </si>
  <si>
    <t>base-ARU_GROUP-2027-000067</t>
  </si>
  <si>
    <t>IC-base-202701-acid-BST</t>
  </si>
  <si>
    <t>4100</t>
  </si>
  <si>
    <t>base-ARU_GROUP-2027-000068</t>
  </si>
  <si>
    <t>5200</t>
  </si>
  <si>
    <t>IC-base-202701-acid-BST-COST</t>
  </si>
  <si>
    <t>base-ARU_GROUP-2027-000069</t>
  </si>
  <si>
    <t>IC-base-202701-acid-TERMINALS</t>
  </si>
  <si>
    <t>base-ARU_GROUP-2027-000070</t>
  </si>
  <si>
    <t>IC-base-202701-acid-TERMINALS-COST</t>
  </si>
  <si>
    <t>base-ARU_GROUP-2027-000071</t>
  </si>
  <si>
    <t>IC-base-202701-acid-TRUCKING</t>
  </si>
  <si>
    <t>base-ARU_GROUP-2027-000072</t>
  </si>
  <si>
    <t>IC-base-202701-acid-TRUCKING-COST</t>
  </si>
  <si>
    <t>base-ARU_GROUP-2027-000073</t>
  </si>
  <si>
    <t>IC-base-202701-binder-BST</t>
  </si>
  <si>
    <t>base-ARU_GROUP-2027-000074</t>
  </si>
  <si>
    <t>IC-base-202701-binder-BST-COST</t>
  </si>
  <si>
    <t>base-ARU_GROUP-2027-000075</t>
  </si>
  <si>
    <t>IC-base-202701-binder-TERMINALS</t>
  </si>
  <si>
    <t>base-ARU_GROUP-2027-000076</t>
  </si>
  <si>
    <t>IC-base-202701-binder-TERMINALS-COST</t>
  </si>
  <si>
    <t>base-ARU_GROUP-2027-000077</t>
  </si>
  <si>
    <t>IC-base-202701-binder-TRUCKING</t>
  </si>
  <si>
    <t>base-ARU_GROUP-2027-000078</t>
  </si>
  <si>
    <t>IC-base-202701-binder-TRUCKING-COST</t>
  </si>
  <si>
    <t>base-ARU_GROUP-2027-000079</t>
  </si>
  <si>
    <t>IC-base-202701-lime-BST</t>
  </si>
  <si>
    <t>base-ARU_GROUP-2027-000080</t>
  </si>
  <si>
    <t>IC-base-202701-lime-BST-COST</t>
  </si>
  <si>
    <t>base-ARU_GROUP-2027-000081</t>
  </si>
  <si>
    <t>IC-base-202701-lime-TERMINALS</t>
  </si>
  <si>
    <t>base-ARU_GROUP-2027-000082</t>
  </si>
  <si>
    <t>IC-base-202701-lime-TERMINALS-COST</t>
  </si>
  <si>
    <t>base-ARU_GROUP-2027-000083</t>
  </si>
  <si>
    <t>IC-base-202701-lime-TRUCKING</t>
  </si>
  <si>
    <t>base-ARU_GROUP-2027-000084</t>
  </si>
  <si>
    <t>IC-base-202701-lime-TRUCKING-COST</t>
  </si>
  <si>
    <t>base-ARU_GROUP-2027-000085</t>
  </si>
  <si>
    <t>IC-base-202701-steel-BST</t>
  </si>
  <si>
    <t>base-ARU_GROUP-2027-000086</t>
  </si>
  <si>
    <t>IC-base-202701-steel-BST-COST</t>
  </si>
  <si>
    <t>base-ARU_GROUP-2027-000087</t>
  </si>
  <si>
    <t>IC-base-202701-steel-TERMINALS</t>
  </si>
  <si>
    <t>base-ARU_GROUP-2027-000088</t>
  </si>
  <si>
    <t>IC-base-202701-steel-TERMINALS-COST</t>
  </si>
  <si>
    <t>base-ARU_GROUP-2027-000089</t>
  </si>
  <si>
    <t>IC-base-202701-steel-TRUCKING</t>
  </si>
  <si>
    <t>base-ARU_GROUP-2027-000090</t>
  </si>
  <si>
    <t>IC-base-202701-steel-TRUCKING-COST</t>
  </si>
  <si>
    <t>base-ARU_GROUP-2027-000091</t>
  </si>
  <si>
    <t>IC-base-202701-mro-BST</t>
  </si>
  <si>
    <t>base-ARU_GROUP-2027-000092</t>
  </si>
  <si>
    <t>IC-base-202701-mro-BST-COST</t>
  </si>
  <si>
    <t>base-ARU_GROUP-2027-000093</t>
  </si>
  <si>
    <t>IC-base-202701-mro-TERMINALS</t>
  </si>
  <si>
    <t>base-ARU_GROUP-2027-000094</t>
  </si>
  <si>
    <t>IC-base-202701-mro-TERMINALS-COST</t>
  </si>
  <si>
    <t>base-ARU_GROUP-2027-000095</t>
  </si>
  <si>
    <t>IC-base-202701-mro-TRUCKING</t>
  </si>
  <si>
    <t>base-ARU_GROUP-2027-000096</t>
  </si>
  <si>
    <t>IC-base-202701-mro-TRUCKING-COST</t>
  </si>
  <si>
    <t>base-ARU_GROUP-2027-000103</t>
  </si>
  <si>
    <t>IF-FIXED-base-202701-BST</t>
  </si>
  <si>
    <t>base-ARU_GROUP-2027-000104</t>
  </si>
  <si>
    <t>IF-FIXED-base-202701-TERMINALS</t>
  </si>
  <si>
    <t>base-ARU_GROUP-2027-000105</t>
  </si>
  <si>
    <t>IF-FIXED-base-202701-TRUCKING</t>
  </si>
  <si>
    <t>base-ARU_GROUP-2027-000107</t>
  </si>
  <si>
    <t>5300</t>
  </si>
  <si>
    <t>ARU-TRACK</t>
  </si>
  <si>
    <t>base-ARU_GROUP-2027-000108</t>
  </si>
  <si>
    <t>ARU-TERMINAL</t>
  </si>
  <si>
    <t>base-ARU_GROUP-2027-000109</t>
  </si>
  <si>
    <t>ARU-MOBILE</t>
  </si>
  <si>
    <t>base-ARU_GROUP-2027-000110</t>
  </si>
  <si>
    <t>ARU-SUSTAIN-2026</t>
  </si>
  <si>
    <t>base-ARU_GROUP-2027-000111</t>
  </si>
  <si>
    <t>ARU-CATCHUP-2026</t>
  </si>
  <si>
    <t>base-ARU_GROUP-2027-000112</t>
  </si>
  <si>
    <t>ARU-INTERFACE-2026</t>
  </si>
  <si>
    <t>base-ARU_GROUP-2027-000113</t>
  </si>
  <si>
    <t>OPEN-LEASE-ROU</t>
  </si>
  <si>
    <t>base-ARU_GROUP-2027-000114</t>
  </si>
  <si>
    <t>5400</t>
  </si>
  <si>
    <t>INTEREST-202701</t>
  </si>
  <si>
    <t>2720</t>
  </si>
  <si>
    <t>base-ARU_GROUP-2027-000115</t>
  </si>
  <si>
    <t>LEGACY-ISSUE-AMORT</t>
  </si>
  <si>
    <t>base-ARU_GROUP-2027-000117</t>
  </si>
  <si>
    <t>OPEN-AR-base-ARU_GROUP-0</t>
  </si>
  <si>
    <t>OPERATING</t>
  </si>
  <si>
    <t>base-ARU_GROUP-2027-000119</t>
  </si>
  <si>
    <t>5501</t>
  </si>
  <si>
    <t>TAX-GOODWILL-202701</t>
  </si>
  <si>
    <t>base-ARU_GROUP-2027-000121</t>
  </si>
  <si>
    <t>OPEN-IC-202612-BST</t>
  </si>
  <si>
    <t>base-ARU_GROUP-2027-000122</t>
  </si>
  <si>
    <t>OPEN-IC-202612-TERMINALS</t>
  </si>
  <si>
    <t>base-ARU_GROUP-2027-000123</t>
  </si>
  <si>
    <t>OPEN-IC-202612-TRUCKING</t>
  </si>
  <si>
    <t>base-ARU_GROUP-2027-000125</t>
  </si>
  <si>
    <t>FINAL-RETENTION-PAYMENT</t>
  </si>
  <si>
    <t>base-ARU_GROUP-2027-000126</t>
  </si>
  <si>
    <t>base-ARU_GROUP-2027-000127</t>
  </si>
  <si>
    <t>base-ARU_GROUP-2027-000128</t>
  </si>
  <si>
    <t>base-ARU_GROUP-2027-000129</t>
  </si>
  <si>
    <t>base-ARU_GROUP-2027-000130</t>
  </si>
  <si>
    <t>base-ARU_GROUP-2027-000131</t>
  </si>
  <si>
    <t>base-ARU_GROUP-2027-000132</t>
  </si>
  <si>
    <t>LEASE-202701</t>
  </si>
  <si>
    <t>FINANCING</t>
  </si>
  <si>
    <t>base-ARU_GROUP-2027-000133</t>
  </si>
  <si>
    <t>LEGACY-TERM-202701</t>
  </si>
  <si>
    <t>base-ARU_GROUP-2027-000134</t>
  </si>
  <si>
    <t>base-ARU_GROUP-2027-000135</t>
  </si>
  <si>
    <t>base-ARU_GROUP-2027-000136</t>
  </si>
  <si>
    <t>base-ARU_GROUP-2027-000137</t>
  </si>
  <si>
    <t>base-ARU_GROUP-2027-000138</t>
  </si>
  <si>
    <t>base-ARU_GROUP-2027-000139</t>
  </si>
  <si>
    <t>base-ARU_GROUP-2027-000140</t>
  </si>
  <si>
    <t>base-ARU_GROUP-2027-000141</t>
  </si>
  <si>
    <t>base-ARU_GROUP-2027-000142</t>
  </si>
  <si>
    <t>base-ARU_GROUP-2027-000143</t>
  </si>
  <si>
    <t>base-ARU_GROUP-2027-000144</t>
  </si>
  <si>
    <t>base-ARU_GROUP-2027-000145</t>
  </si>
  <si>
    <t>base-ARU_GROUP-2027-000146</t>
  </si>
  <si>
    <t>base-ARU_GROUP-2027-000147</t>
  </si>
  <si>
    <t>base-ARU_GROUP-2027-000148</t>
  </si>
  <si>
    <t>base-ARU_GROUP-2027-000149</t>
  </si>
  <si>
    <t>base-ARU_GROUP-2027-000150</t>
  </si>
  <si>
    <t>base-ARU_GROUP-2027-000151</t>
  </si>
  <si>
    <t>base-ARU_GROUP-2027-000152</t>
  </si>
  <si>
    <t>OPEN-AP</t>
  </si>
  <si>
    <t>base-ARU_GROUP-2027-000153</t>
  </si>
  <si>
    <t>CAPEX-base-ARU_GROUP-202701-replacement</t>
  </si>
  <si>
    <t>INVESTING</t>
  </si>
  <si>
    <t>Bank events</t>
  </si>
  <si>
    <t>Posting date</t>
  </si>
  <si>
    <t>Clearing date</t>
  </si>
  <si>
    <t>Bank reference</t>
  </si>
  <si>
    <t>Signed cash USD</t>
  </si>
  <si>
    <t>2027-01-31</t>
  </si>
  <si>
    <t>2027-02-02</t>
  </si>
  <si>
    <t>SIMBANK-2260fe8f8d3456b732</t>
  </si>
  <si>
    <t>SIMBANK-d589e807a153067e3f</t>
  </si>
  <si>
    <t>SIMBANK-23477650cd0d188978</t>
  </si>
  <si>
    <t>SIMBANK-1a252878e659df623c</t>
  </si>
  <si>
    <t>SIMBANK-58572d48f279be16cf</t>
  </si>
  <si>
    <t>SIMBANK-0fc6b4bc166e069538</t>
  </si>
  <si>
    <t>SIMBANK-dd2741006c46391ea7</t>
  </si>
  <si>
    <t>SIMBANK-b79699d0e12476d78d</t>
  </si>
  <si>
    <t>SIMBANK-cd99b858b36222b28e</t>
  </si>
  <si>
    <t>SIMBANK-9866d31cd53e62200c</t>
  </si>
  <si>
    <t>SIMBANK-4e4eb86e53b6fbfb63</t>
  </si>
  <si>
    <t>SIMBANK-b3e451424721f61f1a</t>
  </si>
  <si>
    <t>SIMBANK-462be60f30d5fd0f63</t>
  </si>
  <si>
    <t>SIMBANK-871296c75b7a0969f7</t>
  </si>
  <si>
    <t>SIMBANK-a8c1a868cadb52e24b</t>
  </si>
  <si>
    <t>SIMBANK-e516b67068471bf604</t>
  </si>
  <si>
    <t>SIMBANK-adc0edcdf3fa4e2ace</t>
  </si>
  <si>
    <t>SIMBANK-4b0435367020cb9eb8</t>
  </si>
  <si>
    <t>SIMBANK-03100dd08de2a4e586</t>
  </si>
  <si>
    <t>SIMBANK-519be4ed1e3baf89ae</t>
  </si>
  <si>
    <t>SIMBANK-5ffe3ec547e3b0005c</t>
  </si>
  <si>
    <t>SIMBANK-49e33c79973fc7668b</t>
  </si>
  <si>
    <t>SIMBANK-c3555e5bc629e020ee</t>
  </si>
  <si>
    <t>SIMBANK-da970845783efaecba</t>
  </si>
  <si>
    <t>SIMBANK-02504de2265e2d91cd</t>
  </si>
  <si>
    <t>SIMBANK-3cdbed3ea7d2db4462</t>
  </si>
  <si>
    <t>SIMBANK-77da50db8ec45d4cb3</t>
  </si>
  <si>
    <t>SIMBANK-a95c136b98b0cba0ac</t>
  </si>
  <si>
    <t>SIMBANK-5d7f086ab0acee9e5b</t>
  </si>
  <si>
    <t>SIMBANK-be296f7df48dc2a305</t>
  </si>
  <si>
    <t>SIMBANK-1e7f1ca0367f7c0d35</t>
  </si>
  <si>
    <t>SIMBANK-3302aa482da679260f</t>
  </si>
  <si>
    <t>SIMBANK-903dfd3772018222a3</t>
  </si>
  <si>
    <t>Bank inputs</t>
  </si>
  <si>
    <t>Native field</t>
  </si>
  <si>
    <t>Source USD</t>
  </si>
  <si>
    <t>Opening bank cash usd</t>
  </si>
  <si>
    <t>Cleared receipts usd</t>
  </si>
  <si>
    <t>Cleared payments usd</t>
  </si>
  <si>
    <t>Closing bank cash usd</t>
  </si>
  <si>
    <t>Deposits in transit usd</t>
  </si>
  <si>
    <t>Outstanding payments usd</t>
  </si>
  <si>
    <t>Adjusted bank cash usd</t>
  </si>
  <si>
    <t>Ledger cash usd</t>
  </si>
  <si>
    <t>Receivables</t>
  </si>
  <si>
    <t>Payables</t>
  </si>
  <si>
    <t>Five reconciliations</t>
  </si>
  <si>
    <t>Check</t>
  </si>
  <si>
    <t>Calculated USD</t>
  </si>
  <si>
    <t>Comparison USD</t>
  </si>
  <si>
    <t>Difference USD</t>
  </si>
  <si>
    <t>Evidence boundary</t>
  </si>
  <si>
    <t>Bank adjusted cash to ledger</t>
  </si>
  <si>
    <t>Modeled clearing schedule; not independent bank evidence</t>
  </si>
  <si>
    <t>Bank clearing timing</t>
  </si>
  <si>
    <t>Opening bank cash + cleared receipts - cleared payments + deposits - outstanding payments</t>
  </si>
  <si>
    <t>Complete bank transaction population</t>
  </si>
  <si>
    <t>All 33 selected modeled cash events; journal_id joins activity</t>
  </si>
  <si>
    <t>Receivables opening plus activity</t>
  </si>
  <si>
    <t>Complete account journal rollforward; independent January open-item schedule unavailable in this case</t>
  </si>
  <si>
    <t>Payables opening plus activity</t>
  </si>
  <si>
    <t>Debt legacy term</t>
  </si>
  <si>
    <t>Native debt row; no contractual compliance conclusion</t>
  </si>
  <si>
    <t>Debt replacement term</t>
  </si>
  <si>
    <t>Debt lease</t>
  </si>
  <si>
    <t>PPE gross to ledger</t>
  </si>
  <si>
    <t>All eight native PPE rows; finance-lease ROU is separate</t>
  </si>
  <si>
    <t>PPE accumulated depreciation</t>
  </si>
  <si>
    <t>All eight native PPE rows</t>
  </si>
  <si>
    <t>PPE net rollforward</t>
  </si>
  <si>
    <t>Opening NBV plus additions less depreciation</t>
  </si>
  <si>
    <t>assets usd</t>
  </si>
  <si>
    <t>Complete closing account classification</t>
  </si>
  <si>
    <t>liabilities usd</t>
  </si>
  <si>
    <t>Net income</t>
  </si>
  <si>
    <t>January has no prior-year-to-date forecast income</t>
  </si>
  <si>
    <t>Equity including current income</t>
  </si>
  <si>
    <t>Opening equity and January income</t>
  </si>
  <si>
    <t>operating cash flow usd</t>
  </si>
  <si>
    <t>Complete cash-account journal classification</t>
  </si>
  <si>
    <t>investing cash flow usd</t>
  </si>
  <si>
    <t>financing cash flow usd</t>
  </si>
  <si>
    <t>Debt</t>
  </si>
  <si>
    <t>Instrument</t>
  </si>
  <si>
    <t>Draw USD</t>
  </si>
  <si>
    <t>Principal paid USD</t>
  </si>
  <si>
    <t>Closing source USD</t>
  </si>
  <si>
    <t>Calculated closing USD</t>
  </si>
  <si>
    <t>Legacy Term</t>
  </si>
  <si>
    <t>Replacement Term</t>
  </si>
  <si>
    <t>Lease</t>
  </si>
  <si>
    <t>PPE detail</t>
  </si>
  <si>
    <t>Asset ID</t>
  </si>
  <si>
    <t>Gross USD</t>
  </si>
  <si>
    <t>Accumulated depreciation USD</t>
  </si>
  <si>
    <t>Ledger account</t>
  </si>
  <si>
    <t>Status</t>
  </si>
  <si>
    <t>ARU-LAND</t>
  </si>
  <si>
    <t>CONDITIONAL_IN_SERVICE</t>
  </si>
  <si>
    <t>CAPEX-base-ARU_GROUP-202701-replacement-PAID-1</t>
  </si>
  <si>
    <t>PPE</t>
  </si>
  <si>
    <t>Opening NBV USD</t>
  </si>
  <si>
    <t>Additions USD</t>
  </si>
  <si>
    <t>Depreciation USD</t>
  </si>
  <si>
    <t>Adjustments</t>
  </si>
  <si>
    <t>Proposed debit USD</t>
  </si>
  <si>
    <t>Proposed credit USD</t>
  </si>
  <si>
    <t>Evidence / reason</t>
  </si>
  <si>
    <t>None supported</t>
  </si>
  <si>
    <t>Closing TB</t>
  </si>
  <si>
    <t>Activity USD</t>
  </si>
  <si>
    <t>Adjustment USD</t>
  </si>
  <si>
    <t>Closing USD</t>
  </si>
  <si>
    <t>Released closing USD</t>
  </si>
  <si>
    <t>2410</t>
  </si>
  <si>
    <t>Conditional replacement term debt</t>
  </si>
  <si>
    <t>2700</t>
  </si>
  <si>
    <t>Current income tax payable / prepaid</t>
  </si>
  <si>
    <t>Accrued interest and financing services payable</t>
  </si>
  <si>
    <t>External revenue</t>
  </si>
  <si>
    <t>Intercompany service revenue</t>
  </si>
  <si>
    <t>Payroll and employer burden</t>
  </si>
  <si>
    <t>External operating cost</t>
  </si>
  <si>
    <t>Incremental interface external operating cost</t>
  </si>
  <si>
    <t>Depreciation in earnings</t>
  </si>
  <si>
    <t>Interest and financing fees</t>
  </si>
  <si>
    <t>Deferred income tax expense</t>
  </si>
  <si>
    <t>Retention and seller consulting</t>
  </si>
  <si>
    <t>Income statement</t>
  </si>
  <si>
    <t>Description</t>
  </si>
  <si>
    <t>Class</t>
  </si>
  <si>
    <t>Amount USD</t>
  </si>
  <si>
    <t>revenue</t>
  </si>
  <si>
    <t>expense</t>
  </si>
  <si>
    <t>Balance sheet</t>
  </si>
  <si>
    <t>asset</t>
  </si>
  <si>
    <t>liability</t>
  </si>
  <si>
    <t>equity</t>
  </si>
  <si>
    <t>Current-period income in equity</t>
  </si>
  <si>
    <t>Statements</t>
  </si>
  <si>
    <t>Measure</t>
  </si>
  <si>
    <t>Released USD</t>
  </si>
  <si>
    <t>Assets</t>
  </si>
  <si>
    <t>Liabilities</t>
  </si>
  <si>
    <t>Equity including income</t>
  </si>
  <si>
    <t>Opening cash</t>
  </si>
  <si>
    <t>Ending cash</t>
  </si>
  <si>
    <t>Operating cash flow</t>
  </si>
  <si>
    <t>Investing cash flow</t>
  </si>
  <si>
    <t>Financing cash flow</t>
  </si>
  <si>
    <t>Source index</t>
  </si>
  <si>
    <t>Table</t>
  </si>
  <si>
    <t>Rows</t>
  </si>
  <si>
    <t>Source member / upstream</t>
  </si>
  <si>
    <t>opening_balances</t>
  </si>
  <si>
    <t>industrial/forecast/opening_balances.csv</t>
  </si>
  <si>
    <t>journal</t>
  </si>
  <si>
    <t>industrial/forecast/journal.csv</t>
  </si>
  <si>
    <t>trial_balances</t>
  </si>
  <si>
    <t>industrial/forecast/trial_balances.csv</t>
  </si>
  <si>
    <t>monthly_statements</t>
  </si>
  <si>
    <t>industrial/forecast/monthly_statements.csv</t>
  </si>
  <si>
    <t>assets</t>
  </si>
  <si>
    <t>industrial/forecast/assets.csv</t>
  </si>
  <si>
    <t>debt</t>
  </si>
  <si>
    <t>industrial/forecast/debt.csv</t>
  </si>
  <si>
    <t>industrial_bank_reconciliations</t>
  </si>
  <si>
    <t>docs/finance/evidence/treasury/source/industrial_bank_reconciliations.csv</t>
  </si>
  <si>
    <t>industrial_bank_transactions</t>
  </si>
  <si>
    <t>docs/finance/evidence/treasury/source/industrial_bank_transactions.csv</t>
  </si>
</sst>
</file>

<file path=xl/styles.xml><?xml version="1.0" encoding="utf-8"?>
<styleSheet xmlns="http://schemas.openxmlformats.org/spreadsheetml/2006/main">
  <numFmts count="1">
    <numFmt numFmtId="164" formatCode="#,##0.00;[Red](#,##0.00);–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2D35"/>
        <bgColor indexed="64"/>
      </patternFill>
    </fill>
    <fill>
      <patternFill patternType="solid">
        <fgColor rgb="FFE3E9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2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15.7109375" customWidth="1"/>
  </cols>
  <sheetData>
    <row r="1" spans="1:2">
      <c r="A1" s="1" t="s">
        <v>0</v>
      </c>
      <c r="B1" s="1"/>
    </row>
    <row r="2" spans="1:2">
      <c r="A2" s="1"/>
      <c r="B2" s="1"/>
    </row>
    <row r="4" spans="1:2" ht="32" customHeight="1">
      <c r="A4" s="2" t="s">
        <v>1</v>
      </c>
      <c r="B4" s="2" t="s">
        <v>2</v>
      </c>
    </row>
    <row r="5" spans="1:2" ht="38" customHeight="1">
      <c r="A5" s="3" t="s">
        <v>3</v>
      </c>
      <c r="B5" s="3" t="s">
        <v>4</v>
      </c>
    </row>
    <row r="6" spans="1:2" ht="38" customHeight="1">
      <c r="A6" s="3" t="s">
        <v>5</v>
      </c>
      <c r="B6" s="3" t="s">
        <v>6</v>
      </c>
    </row>
    <row r="7" spans="1:2" ht="38" customHeight="1">
      <c r="A7" s="3" t="s">
        <v>7</v>
      </c>
      <c r="B7" s="3" t="s">
        <v>8</v>
      </c>
    </row>
    <row r="8" spans="1:2" ht="38" customHeight="1">
      <c r="A8" s="3" t="s">
        <v>9</v>
      </c>
      <c r="B8" s="3" t="s">
        <v>10</v>
      </c>
    </row>
    <row r="9" spans="1:2" ht="38" customHeight="1">
      <c r="A9" s="3" t="s">
        <v>11</v>
      </c>
      <c r="B9" s="3" t="s">
        <v>12</v>
      </c>
    </row>
    <row r="10" spans="1:2" ht="38" customHeight="1">
      <c r="A10" s="3" t="s">
        <v>13</v>
      </c>
      <c r="B10" s="3" t="s">
        <v>14</v>
      </c>
    </row>
    <row r="11" spans="1:2" ht="38" customHeight="1">
      <c r="A11" s="3" t="s">
        <v>15</v>
      </c>
      <c r="B11" s="3" t="s">
        <v>16</v>
      </c>
    </row>
    <row r="12" spans="1:2" ht="38" customHeight="1">
      <c r="A12" s="3" t="s">
        <v>17</v>
      </c>
      <c r="B12" s="3" t="s">
        <v>18</v>
      </c>
    </row>
    <row r="13" spans="1:2" ht="38" customHeight="1">
      <c r="A13" s="3" t="s">
        <v>19</v>
      </c>
      <c r="B13" s="3" t="s">
        <v>20</v>
      </c>
    </row>
    <row r="14" spans="1:2" ht="38" customHeight="1">
      <c r="A14" s="3" t="s">
        <v>21</v>
      </c>
      <c r="B14" s="3" t="s">
        <v>22</v>
      </c>
    </row>
    <row r="15" spans="1:2" ht="38" customHeight="1">
      <c r="A15" s="3" t="s">
        <v>23</v>
      </c>
      <c r="B15" s="3" t="s">
        <v>24</v>
      </c>
    </row>
    <row r="16" spans="1:2" ht="38" customHeight="1">
      <c r="A16" s="3" t="s">
        <v>25</v>
      </c>
      <c r="B16" s="3" t="s">
        <v>26</v>
      </c>
    </row>
  </sheetData>
  <mergeCells count="1">
    <mergeCell ref="A1:B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75.7109375" customWidth="1"/>
    <col min="3" max="3" width="22.7109375" customWidth="1"/>
  </cols>
  <sheetData>
    <row r="1" spans="1:3">
      <c r="A1" s="1" t="s">
        <v>27</v>
      </c>
      <c r="B1" s="1"/>
      <c r="C1" s="1"/>
    </row>
    <row r="2" spans="1:3">
      <c r="A2" s="1"/>
      <c r="B2" s="1"/>
      <c r="C2" s="1"/>
    </row>
    <row r="4" spans="1:3" ht="32" customHeight="1">
      <c r="A4" s="2" t="s">
        <v>28</v>
      </c>
      <c r="B4" s="2" t="s">
        <v>29</v>
      </c>
      <c r="C4" s="2" t="s">
        <v>30</v>
      </c>
    </row>
    <row r="5" spans="1:3" ht="32" customHeight="1">
      <c r="A5" s="3" t="s">
        <v>31</v>
      </c>
      <c r="B5" s="3" t="s">
        <v>32</v>
      </c>
      <c r="C5" s="4">
        <v>4198440</v>
      </c>
    </row>
    <row r="6" spans="1:3" ht="32" customHeight="1">
      <c r="A6" s="3" t="s">
        <v>33</v>
      </c>
      <c r="B6" s="3" t="s">
        <v>34</v>
      </c>
      <c r="C6" s="4">
        <v>6120000</v>
      </c>
    </row>
    <row r="7" spans="1:3" ht="32" customHeight="1">
      <c r="A7" s="3" t="s">
        <v>35</v>
      </c>
      <c r="B7" s="3" t="s">
        <v>36</v>
      </c>
      <c r="C7" s="4">
        <v>49240</v>
      </c>
    </row>
    <row r="8" spans="1:3" ht="32" customHeight="1">
      <c r="A8" s="3" t="s">
        <v>37</v>
      </c>
      <c r="B8" s="3" t="s">
        <v>38</v>
      </c>
      <c r="C8" s="4">
        <v>1854000</v>
      </c>
    </row>
    <row r="9" spans="1:3" ht="32" customHeight="1">
      <c r="A9" s="3" t="s">
        <v>39</v>
      </c>
      <c r="B9" s="3" t="s">
        <v>40</v>
      </c>
      <c r="C9" s="4">
        <v>721000</v>
      </c>
    </row>
    <row r="10" spans="1:3" ht="32" customHeight="1">
      <c r="A10" s="3" t="s">
        <v>41</v>
      </c>
      <c r="B10" s="3" t="s">
        <v>42</v>
      </c>
      <c r="C10" s="4">
        <v>61550000</v>
      </c>
    </row>
    <row r="11" spans="1:3" ht="32" customHeight="1">
      <c r="A11" s="3" t="s">
        <v>43</v>
      </c>
      <c r="B11" s="3" t="s">
        <v>44</v>
      </c>
      <c r="C11" s="4">
        <v>-2684091</v>
      </c>
    </row>
    <row r="12" spans="1:3" ht="32" customHeight="1">
      <c r="A12" s="3" t="s">
        <v>45</v>
      </c>
      <c r="B12" s="3" t="s">
        <v>46</v>
      </c>
      <c r="C12" s="4">
        <v>2500000</v>
      </c>
    </row>
    <row r="13" spans="1:3" ht="32" customHeight="1">
      <c r="A13" s="3" t="s">
        <v>47</v>
      </c>
      <c r="B13" s="3" t="s">
        <v>48</v>
      </c>
      <c r="C13" s="4">
        <v>-491783</v>
      </c>
    </row>
    <row r="14" spans="1:3" ht="32" customHeight="1">
      <c r="A14" s="3" t="s">
        <v>49</v>
      </c>
      <c r="B14" s="3" t="s">
        <v>50</v>
      </c>
      <c r="C14" s="4">
        <v>14762500</v>
      </c>
    </row>
    <row r="15" spans="1:3" ht="32" customHeight="1">
      <c r="A15" s="3" t="s">
        <v>51</v>
      </c>
      <c r="B15" s="3" t="s">
        <v>52</v>
      </c>
      <c r="C15" s="4">
        <v>240968</v>
      </c>
    </row>
    <row r="16" spans="1:3" ht="32" customHeight="1">
      <c r="A16" s="3" t="s">
        <v>53</v>
      </c>
      <c r="B16" s="3" t="s">
        <v>54</v>
      </c>
      <c r="C16" s="4">
        <v>587500</v>
      </c>
    </row>
    <row r="17" spans="1:3" ht="32" customHeight="1">
      <c r="A17" s="3" t="s">
        <v>55</v>
      </c>
      <c r="B17" s="3" t="s">
        <v>56</v>
      </c>
      <c r="C17" s="4">
        <v>-3090000</v>
      </c>
    </row>
    <row r="18" spans="1:3" ht="32" customHeight="1">
      <c r="A18" s="3" t="s">
        <v>57</v>
      </c>
      <c r="B18" s="3" t="s">
        <v>58</v>
      </c>
      <c r="C18" s="4">
        <v>-1030000</v>
      </c>
    </row>
    <row r="19" spans="1:3" ht="32" customHeight="1">
      <c r="A19" s="3" t="s">
        <v>59</v>
      </c>
      <c r="B19" s="3" t="s">
        <v>60</v>
      </c>
      <c r="C19" s="4">
        <v>-241781</v>
      </c>
    </row>
    <row r="20" spans="1:3" ht="32" customHeight="1">
      <c r="A20" s="3" t="s">
        <v>61</v>
      </c>
      <c r="B20" s="3" t="s">
        <v>62</v>
      </c>
      <c r="C20" s="4">
        <v>-1750000</v>
      </c>
    </row>
    <row r="21" spans="1:3" ht="32" customHeight="1">
      <c r="A21" s="3" t="s">
        <v>63</v>
      </c>
      <c r="B21" s="3" t="s">
        <v>64</v>
      </c>
      <c r="C21" s="4">
        <v>-216667</v>
      </c>
    </row>
    <row r="22" spans="1:3" ht="32" customHeight="1">
      <c r="A22" s="3" t="s">
        <v>65</v>
      </c>
      <c r="B22" s="3" t="s">
        <v>66</v>
      </c>
      <c r="C22" s="4">
        <v>-600000</v>
      </c>
    </row>
    <row r="23" spans="1:3" ht="32" customHeight="1">
      <c r="A23" s="3" t="s">
        <v>67</v>
      </c>
      <c r="B23" s="3" t="s">
        <v>68</v>
      </c>
      <c r="C23" s="4">
        <v>-21375000</v>
      </c>
    </row>
    <row r="24" spans="1:3" ht="32" customHeight="1">
      <c r="A24" s="3" t="s">
        <v>69</v>
      </c>
      <c r="B24" s="3" t="s">
        <v>70</v>
      </c>
      <c r="C24" s="4">
        <v>-2008219</v>
      </c>
    </row>
    <row r="25" spans="1:3" ht="32" customHeight="1">
      <c r="A25" s="3" t="s">
        <v>71</v>
      </c>
      <c r="B25" s="3" t="s">
        <v>72</v>
      </c>
      <c r="C25" s="4">
        <v>-56004880</v>
      </c>
    </row>
    <row r="26" spans="1:3" ht="32" customHeight="1">
      <c r="A26" s="3" t="s">
        <v>73</v>
      </c>
      <c r="B26" s="3" t="s">
        <v>74</v>
      </c>
      <c r="C26" s="4">
        <v>-3091227</v>
      </c>
    </row>
  </sheetData>
  <mergeCells count="1">
    <mergeCell ref="A1:C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10.7109375" customWidth="1"/>
    <col min="3" max="3" width="48.7109375" customWidth="1"/>
    <col min="4" max="6" width="17.7109375" customWidth="1"/>
    <col min="7" max="7" width="23.7109375" customWidth="1"/>
  </cols>
  <sheetData>
    <row r="1" spans="1:7">
      <c r="A1" s="1" t="s">
        <v>75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 ht="32" customHeight="1">
      <c r="A4" s="2" t="s">
        <v>76</v>
      </c>
      <c r="B4" s="2" t="s">
        <v>28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</row>
    <row r="5" spans="1:7" ht="32" customHeight="1">
      <c r="A5" s="3" t="s">
        <v>82</v>
      </c>
      <c r="B5" s="3" t="s">
        <v>33</v>
      </c>
      <c r="C5" s="3" t="s">
        <v>83</v>
      </c>
      <c r="D5" s="4">
        <v>246974</v>
      </c>
      <c r="E5" s="4">
        <v>0</v>
      </c>
      <c r="F5" s="4">
        <v>246974</v>
      </c>
      <c r="G5" s="3" t="s">
        <v>84</v>
      </c>
    </row>
    <row r="6" spans="1:7" ht="32" customHeight="1">
      <c r="A6" s="3" t="s">
        <v>82</v>
      </c>
      <c r="B6" s="3" t="s">
        <v>85</v>
      </c>
      <c r="C6" s="3" t="s">
        <v>83</v>
      </c>
      <c r="D6" s="4">
        <v>0</v>
      </c>
      <c r="E6" s="4">
        <v>246974</v>
      </c>
      <c r="F6" s="4">
        <v>-246974</v>
      </c>
      <c r="G6" s="3" t="s">
        <v>84</v>
      </c>
    </row>
    <row r="7" spans="1:7" ht="32" customHeight="1">
      <c r="A7" s="3" t="s">
        <v>86</v>
      </c>
      <c r="B7" s="3" t="s">
        <v>33</v>
      </c>
      <c r="C7" s="3" t="s">
        <v>87</v>
      </c>
      <c r="D7" s="4">
        <v>106674</v>
      </c>
      <c r="E7" s="4">
        <v>0</v>
      </c>
      <c r="F7" s="4">
        <v>106674</v>
      </c>
      <c r="G7" s="3" t="s">
        <v>84</v>
      </c>
    </row>
    <row r="8" spans="1:7" ht="32" customHeight="1">
      <c r="A8" s="3" t="s">
        <v>86</v>
      </c>
      <c r="B8" s="3" t="s">
        <v>85</v>
      </c>
      <c r="C8" s="3" t="s">
        <v>87</v>
      </c>
      <c r="D8" s="4">
        <v>0</v>
      </c>
      <c r="E8" s="4">
        <v>106674</v>
      </c>
      <c r="F8" s="4">
        <v>-106674</v>
      </c>
      <c r="G8" s="3" t="s">
        <v>84</v>
      </c>
    </row>
    <row r="9" spans="1:7" ht="32" customHeight="1">
      <c r="A9" s="3" t="s">
        <v>88</v>
      </c>
      <c r="B9" s="3" t="s">
        <v>33</v>
      </c>
      <c r="C9" s="3" t="s">
        <v>89</v>
      </c>
      <c r="D9" s="4">
        <v>185420</v>
      </c>
      <c r="E9" s="4">
        <v>0</v>
      </c>
      <c r="F9" s="4">
        <v>185420</v>
      </c>
      <c r="G9" s="3" t="s">
        <v>84</v>
      </c>
    </row>
    <row r="10" spans="1:7" ht="32" customHeight="1">
      <c r="A10" s="3" t="s">
        <v>88</v>
      </c>
      <c r="B10" s="3" t="s">
        <v>85</v>
      </c>
      <c r="C10" s="3" t="s">
        <v>89</v>
      </c>
      <c r="D10" s="4">
        <v>0</v>
      </c>
      <c r="E10" s="4">
        <v>185420</v>
      </c>
      <c r="F10" s="4">
        <v>-185420</v>
      </c>
      <c r="G10" s="3" t="s">
        <v>84</v>
      </c>
    </row>
    <row r="11" spans="1:7" ht="32" customHeight="1">
      <c r="A11" s="3" t="s">
        <v>90</v>
      </c>
      <c r="B11" s="3" t="s">
        <v>33</v>
      </c>
      <c r="C11" s="3" t="s">
        <v>91</v>
      </c>
      <c r="D11" s="4">
        <v>83534</v>
      </c>
      <c r="E11" s="4">
        <v>0</v>
      </c>
      <c r="F11" s="4">
        <v>83534</v>
      </c>
      <c r="G11" s="3" t="s">
        <v>84</v>
      </c>
    </row>
    <row r="12" spans="1:7" ht="32" customHeight="1">
      <c r="A12" s="3" t="s">
        <v>90</v>
      </c>
      <c r="B12" s="3" t="s">
        <v>85</v>
      </c>
      <c r="C12" s="3" t="s">
        <v>91</v>
      </c>
      <c r="D12" s="4">
        <v>0</v>
      </c>
      <c r="E12" s="4">
        <v>83534</v>
      </c>
      <c r="F12" s="4">
        <v>-83534</v>
      </c>
      <c r="G12" s="3" t="s">
        <v>84</v>
      </c>
    </row>
    <row r="13" spans="1:7" ht="32" customHeight="1">
      <c r="A13" s="3" t="s">
        <v>92</v>
      </c>
      <c r="B13" s="3" t="s">
        <v>33</v>
      </c>
      <c r="C13" s="3" t="s">
        <v>93</v>
      </c>
      <c r="D13" s="4">
        <v>96011</v>
      </c>
      <c r="E13" s="4">
        <v>0</v>
      </c>
      <c r="F13" s="4">
        <v>96011</v>
      </c>
      <c r="G13" s="3" t="s">
        <v>84</v>
      </c>
    </row>
    <row r="14" spans="1:7" ht="32" customHeight="1">
      <c r="A14" s="3" t="s">
        <v>92</v>
      </c>
      <c r="B14" s="3" t="s">
        <v>85</v>
      </c>
      <c r="C14" s="3" t="s">
        <v>93</v>
      </c>
      <c r="D14" s="4">
        <v>0</v>
      </c>
      <c r="E14" s="4">
        <v>96011</v>
      </c>
      <c r="F14" s="4">
        <v>-96011</v>
      </c>
      <c r="G14" s="3" t="s">
        <v>84</v>
      </c>
    </row>
    <row r="15" spans="1:7" ht="32" customHeight="1">
      <c r="A15" s="3" t="s">
        <v>94</v>
      </c>
      <c r="B15" s="3" t="s">
        <v>33</v>
      </c>
      <c r="C15" s="3" t="s">
        <v>95</v>
      </c>
      <c r="D15" s="4">
        <v>49111</v>
      </c>
      <c r="E15" s="4">
        <v>0</v>
      </c>
      <c r="F15" s="4">
        <v>49111</v>
      </c>
      <c r="G15" s="3" t="s">
        <v>84</v>
      </c>
    </row>
    <row r="16" spans="1:7" ht="32" customHeight="1">
      <c r="A16" s="3" t="s">
        <v>94</v>
      </c>
      <c r="B16" s="3" t="s">
        <v>85</v>
      </c>
      <c r="C16" s="3" t="s">
        <v>95</v>
      </c>
      <c r="D16" s="4">
        <v>0</v>
      </c>
      <c r="E16" s="4">
        <v>49111</v>
      </c>
      <c r="F16" s="4">
        <v>-49111</v>
      </c>
      <c r="G16" s="3" t="s">
        <v>84</v>
      </c>
    </row>
    <row r="17" spans="1:7" ht="32" customHeight="1">
      <c r="A17" s="3" t="s">
        <v>96</v>
      </c>
      <c r="B17" s="3" t="s">
        <v>33</v>
      </c>
      <c r="C17" s="3" t="s">
        <v>97</v>
      </c>
      <c r="D17" s="4">
        <v>113434</v>
      </c>
      <c r="E17" s="4">
        <v>0</v>
      </c>
      <c r="F17" s="4">
        <v>113434</v>
      </c>
      <c r="G17" s="3" t="s">
        <v>84</v>
      </c>
    </row>
    <row r="18" spans="1:7" ht="32" customHeight="1">
      <c r="A18" s="3" t="s">
        <v>96</v>
      </c>
      <c r="B18" s="3" t="s">
        <v>85</v>
      </c>
      <c r="C18" s="3" t="s">
        <v>97</v>
      </c>
      <c r="D18" s="4">
        <v>0</v>
      </c>
      <c r="E18" s="4">
        <v>113434</v>
      </c>
      <c r="F18" s="4">
        <v>-113434</v>
      </c>
      <c r="G18" s="3" t="s">
        <v>84</v>
      </c>
    </row>
    <row r="19" spans="1:7" ht="32" customHeight="1">
      <c r="A19" s="3" t="s">
        <v>98</v>
      </c>
      <c r="B19" s="3" t="s">
        <v>33</v>
      </c>
      <c r="C19" s="3" t="s">
        <v>99</v>
      </c>
      <c r="D19" s="4">
        <v>60837</v>
      </c>
      <c r="E19" s="4">
        <v>0</v>
      </c>
      <c r="F19" s="4">
        <v>60837</v>
      </c>
      <c r="G19" s="3" t="s">
        <v>84</v>
      </c>
    </row>
    <row r="20" spans="1:7" ht="32" customHeight="1">
      <c r="A20" s="3" t="s">
        <v>98</v>
      </c>
      <c r="B20" s="3" t="s">
        <v>85</v>
      </c>
      <c r="C20" s="3" t="s">
        <v>99</v>
      </c>
      <c r="D20" s="4">
        <v>0</v>
      </c>
      <c r="E20" s="4">
        <v>60837</v>
      </c>
      <c r="F20" s="4">
        <v>-60837</v>
      </c>
      <c r="G20" s="3" t="s">
        <v>84</v>
      </c>
    </row>
    <row r="21" spans="1:7" ht="32" customHeight="1">
      <c r="A21" s="3" t="s">
        <v>100</v>
      </c>
      <c r="B21" s="3" t="s">
        <v>33</v>
      </c>
      <c r="C21" s="3" t="s">
        <v>101</v>
      </c>
      <c r="D21" s="4">
        <v>55395</v>
      </c>
      <c r="E21" s="4">
        <v>0</v>
      </c>
      <c r="F21" s="4">
        <v>55395</v>
      </c>
      <c r="G21" s="3" t="s">
        <v>84</v>
      </c>
    </row>
    <row r="22" spans="1:7" ht="32" customHeight="1">
      <c r="A22" s="3" t="s">
        <v>100</v>
      </c>
      <c r="B22" s="3" t="s">
        <v>85</v>
      </c>
      <c r="C22" s="3" t="s">
        <v>101</v>
      </c>
      <c r="D22" s="4">
        <v>0</v>
      </c>
      <c r="E22" s="4">
        <v>55395</v>
      </c>
      <c r="F22" s="4">
        <v>-55395</v>
      </c>
      <c r="G22" s="3" t="s">
        <v>84</v>
      </c>
    </row>
    <row r="23" spans="1:7" ht="32" customHeight="1">
      <c r="A23" s="3" t="s">
        <v>102</v>
      </c>
      <c r="B23" s="3" t="s">
        <v>33</v>
      </c>
      <c r="C23" s="3" t="s">
        <v>103</v>
      </c>
      <c r="D23" s="4">
        <v>31043</v>
      </c>
      <c r="E23" s="4">
        <v>0</v>
      </c>
      <c r="F23" s="4">
        <v>31043</v>
      </c>
      <c r="G23" s="3" t="s">
        <v>84</v>
      </c>
    </row>
    <row r="24" spans="1:7" ht="32" customHeight="1">
      <c r="A24" s="3" t="s">
        <v>102</v>
      </c>
      <c r="B24" s="3" t="s">
        <v>85</v>
      </c>
      <c r="C24" s="3" t="s">
        <v>103</v>
      </c>
      <c r="D24" s="4">
        <v>0</v>
      </c>
      <c r="E24" s="4">
        <v>31043</v>
      </c>
      <c r="F24" s="4">
        <v>-31043</v>
      </c>
      <c r="G24" s="3" t="s">
        <v>84</v>
      </c>
    </row>
    <row r="25" spans="1:7" ht="32" customHeight="1">
      <c r="A25" s="3" t="s">
        <v>104</v>
      </c>
      <c r="B25" s="3" t="s">
        <v>33</v>
      </c>
      <c r="C25" s="3" t="s">
        <v>105</v>
      </c>
      <c r="D25" s="4">
        <v>92252</v>
      </c>
      <c r="E25" s="4">
        <v>0</v>
      </c>
      <c r="F25" s="4">
        <v>92252</v>
      </c>
      <c r="G25" s="3" t="s">
        <v>84</v>
      </c>
    </row>
    <row r="26" spans="1:7" ht="32" customHeight="1">
      <c r="A26" s="3" t="s">
        <v>104</v>
      </c>
      <c r="B26" s="3" t="s">
        <v>85</v>
      </c>
      <c r="C26" s="3" t="s">
        <v>105</v>
      </c>
      <c r="D26" s="4">
        <v>0</v>
      </c>
      <c r="E26" s="4">
        <v>92252</v>
      </c>
      <c r="F26" s="4">
        <v>-92252</v>
      </c>
      <c r="G26" s="3" t="s">
        <v>84</v>
      </c>
    </row>
    <row r="27" spans="1:7" ht="32" customHeight="1">
      <c r="A27" s="3" t="s">
        <v>106</v>
      </c>
      <c r="B27" s="3" t="s">
        <v>33</v>
      </c>
      <c r="C27" s="3" t="s">
        <v>107</v>
      </c>
      <c r="D27" s="4">
        <v>58413</v>
      </c>
      <c r="E27" s="4">
        <v>0</v>
      </c>
      <c r="F27" s="4">
        <v>58413</v>
      </c>
      <c r="G27" s="3" t="s">
        <v>84</v>
      </c>
    </row>
    <row r="28" spans="1:7" ht="32" customHeight="1">
      <c r="A28" s="3" t="s">
        <v>106</v>
      </c>
      <c r="B28" s="3" t="s">
        <v>85</v>
      </c>
      <c r="C28" s="3" t="s">
        <v>107</v>
      </c>
      <c r="D28" s="4">
        <v>0</v>
      </c>
      <c r="E28" s="4">
        <v>58413</v>
      </c>
      <c r="F28" s="4">
        <v>-58413</v>
      </c>
      <c r="G28" s="3" t="s">
        <v>84</v>
      </c>
    </row>
    <row r="29" spans="1:7" ht="32" customHeight="1">
      <c r="A29" s="3" t="s">
        <v>108</v>
      </c>
      <c r="B29" s="3" t="s">
        <v>33</v>
      </c>
      <c r="C29" s="3" t="s">
        <v>109</v>
      </c>
      <c r="D29" s="4">
        <v>99419</v>
      </c>
      <c r="E29" s="4">
        <v>0</v>
      </c>
      <c r="F29" s="4">
        <v>99419</v>
      </c>
      <c r="G29" s="3" t="s">
        <v>84</v>
      </c>
    </row>
    <row r="30" spans="1:7" ht="32" customHeight="1">
      <c r="A30" s="3" t="s">
        <v>108</v>
      </c>
      <c r="B30" s="3" t="s">
        <v>85</v>
      </c>
      <c r="C30" s="3" t="s">
        <v>109</v>
      </c>
      <c r="D30" s="4">
        <v>0</v>
      </c>
      <c r="E30" s="4">
        <v>99419</v>
      </c>
      <c r="F30" s="4">
        <v>-99419</v>
      </c>
      <c r="G30" s="3" t="s">
        <v>84</v>
      </c>
    </row>
    <row r="31" spans="1:7" ht="32" customHeight="1">
      <c r="A31" s="3" t="s">
        <v>110</v>
      </c>
      <c r="B31" s="3" t="s">
        <v>33</v>
      </c>
      <c r="C31" s="3" t="s">
        <v>111</v>
      </c>
      <c r="D31" s="4">
        <v>96674</v>
      </c>
      <c r="E31" s="4">
        <v>0</v>
      </c>
      <c r="F31" s="4">
        <v>96674</v>
      </c>
      <c r="G31" s="3" t="s">
        <v>84</v>
      </c>
    </row>
    <row r="32" spans="1:7" ht="32" customHeight="1">
      <c r="A32" s="3" t="s">
        <v>110</v>
      </c>
      <c r="B32" s="3" t="s">
        <v>85</v>
      </c>
      <c r="C32" s="3" t="s">
        <v>111</v>
      </c>
      <c r="D32" s="4">
        <v>0</v>
      </c>
      <c r="E32" s="4">
        <v>96674</v>
      </c>
      <c r="F32" s="4">
        <v>-96674</v>
      </c>
      <c r="G32" s="3" t="s">
        <v>84</v>
      </c>
    </row>
    <row r="33" spans="1:7" ht="32" customHeight="1">
      <c r="A33" s="3" t="s">
        <v>112</v>
      </c>
      <c r="B33" s="3" t="s">
        <v>33</v>
      </c>
      <c r="C33" s="3" t="s">
        <v>113</v>
      </c>
      <c r="D33" s="4">
        <v>133263</v>
      </c>
      <c r="E33" s="4">
        <v>0</v>
      </c>
      <c r="F33" s="4">
        <v>133263</v>
      </c>
      <c r="G33" s="3" t="s">
        <v>84</v>
      </c>
    </row>
    <row r="34" spans="1:7" ht="32" customHeight="1">
      <c r="A34" s="3" t="s">
        <v>112</v>
      </c>
      <c r="B34" s="3" t="s">
        <v>85</v>
      </c>
      <c r="C34" s="3" t="s">
        <v>113</v>
      </c>
      <c r="D34" s="4">
        <v>0</v>
      </c>
      <c r="E34" s="4">
        <v>133263</v>
      </c>
      <c r="F34" s="4">
        <v>-133263</v>
      </c>
      <c r="G34" s="3" t="s">
        <v>84</v>
      </c>
    </row>
    <row r="35" spans="1:7" ht="32" customHeight="1">
      <c r="A35" s="3" t="s">
        <v>114</v>
      </c>
      <c r="B35" s="3" t="s">
        <v>33</v>
      </c>
      <c r="C35" s="3" t="s">
        <v>115</v>
      </c>
      <c r="D35" s="4">
        <v>133051</v>
      </c>
      <c r="E35" s="4">
        <v>0</v>
      </c>
      <c r="F35" s="4">
        <v>133051</v>
      </c>
      <c r="G35" s="3" t="s">
        <v>84</v>
      </c>
    </row>
    <row r="36" spans="1:7" ht="32" customHeight="1">
      <c r="A36" s="3" t="s">
        <v>114</v>
      </c>
      <c r="B36" s="3" t="s">
        <v>85</v>
      </c>
      <c r="C36" s="3" t="s">
        <v>115</v>
      </c>
      <c r="D36" s="4">
        <v>0</v>
      </c>
      <c r="E36" s="4">
        <v>133051</v>
      </c>
      <c r="F36" s="4">
        <v>-133051</v>
      </c>
      <c r="G36" s="3" t="s">
        <v>84</v>
      </c>
    </row>
    <row r="37" spans="1:7" ht="32" customHeight="1">
      <c r="A37" s="3" t="s">
        <v>116</v>
      </c>
      <c r="B37" s="3" t="s">
        <v>33</v>
      </c>
      <c r="C37" s="3" t="s">
        <v>117</v>
      </c>
      <c r="D37" s="4">
        <v>131204</v>
      </c>
      <c r="E37" s="4">
        <v>0</v>
      </c>
      <c r="F37" s="4">
        <v>131204</v>
      </c>
      <c r="G37" s="3" t="s">
        <v>84</v>
      </c>
    </row>
    <row r="38" spans="1:7" ht="32" customHeight="1">
      <c r="A38" s="3" t="s">
        <v>116</v>
      </c>
      <c r="B38" s="3" t="s">
        <v>85</v>
      </c>
      <c r="C38" s="3" t="s">
        <v>117</v>
      </c>
      <c r="D38" s="4">
        <v>0</v>
      </c>
      <c r="E38" s="4">
        <v>131204</v>
      </c>
      <c r="F38" s="4">
        <v>-131204</v>
      </c>
      <c r="G38" s="3" t="s">
        <v>84</v>
      </c>
    </row>
    <row r="39" spans="1:7" ht="32" customHeight="1">
      <c r="A39" s="3" t="s">
        <v>118</v>
      </c>
      <c r="B39" s="3" t="s">
        <v>33</v>
      </c>
      <c r="C39" s="3" t="s">
        <v>119</v>
      </c>
      <c r="D39" s="4">
        <v>127138</v>
      </c>
      <c r="E39" s="4">
        <v>0</v>
      </c>
      <c r="F39" s="4">
        <v>127138</v>
      </c>
      <c r="G39" s="3" t="s">
        <v>84</v>
      </c>
    </row>
    <row r="40" spans="1:7" ht="32" customHeight="1">
      <c r="A40" s="3" t="s">
        <v>118</v>
      </c>
      <c r="B40" s="3" t="s">
        <v>85</v>
      </c>
      <c r="C40" s="3" t="s">
        <v>119</v>
      </c>
      <c r="D40" s="4">
        <v>0</v>
      </c>
      <c r="E40" s="4">
        <v>127138</v>
      </c>
      <c r="F40" s="4">
        <v>-127138</v>
      </c>
      <c r="G40" s="3" t="s">
        <v>84</v>
      </c>
    </row>
    <row r="41" spans="1:7" ht="32" customHeight="1">
      <c r="A41" s="3" t="s">
        <v>120</v>
      </c>
      <c r="B41" s="3" t="s">
        <v>33</v>
      </c>
      <c r="C41" s="3" t="s">
        <v>121</v>
      </c>
      <c r="D41" s="4">
        <v>121964</v>
      </c>
      <c r="E41" s="4">
        <v>0</v>
      </c>
      <c r="F41" s="4">
        <v>121964</v>
      </c>
      <c r="G41" s="3" t="s">
        <v>84</v>
      </c>
    </row>
    <row r="42" spans="1:7" ht="32" customHeight="1">
      <c r="A42" s="3" t="s">
        <v>120</v>
      </c>
      <c r="B42" s="3" t="s">
        <v>85</v>
      </c>
      <c r="C42" s="3" t="s">
        <v>121</v>
      </c>
      <c r="D42" s="4">
        <v>0</v>
      </c>
      <c r="E42" s="4">
        <v>121964</v>
      </c>
      <c r="F42" s="4">
        <v>-121964</v>
      </c>
      <c r="G42" s="3" t="s">
        <v>84</v>
      </c>
    </row>
    <row r="43" spans="1:7" ht="32" customHeight="1">
      <c r="A43" s="3" t="s">
        <v>122</v>
      </c>
      <c r="B43" s="3" t="s">
        <v>33</v>
      </c>
      <c r="C43" s="3" t="s">
        <v>123</v>
      </c>
      <c r="D43" s="4">
        <v>118268</v>
      </c>
      <c r="E43" s="4">
        <v>0</v>
      </c>
      <c r="F43" s="4">
        <v>118268</v>
      </c>
      <c r="G43" s="3" t="s">
        <v>84</v>
      </c>
    </row>
    <row r="44" spans="1:7" ht="32" customHeight="1">
      <c r="A44" s="3" t="s">
        <v>122</v>
      </c>
      <c r="B44" s="3" t="s">
        <v>85</v>
      </c>
      <c r="C44" s="3" t="s">
        <v>123</v>
      </c>
      <c r="D44" s="4">
        <v>0</v>
      </c>
      <c r="E44" s="4">
        <v>118268</v>
      </c>
      <c r="F44" s="4">
        <v>-118268</v>
      </c>
      <c r="G44" s="3" t="s">
        <v>84</v>
      </c>
    </row>
    <row r="45" spans="1:7" ht="32" customHeight="1">
      <c r="A45" s="3" t="s">
        <v>124</v>
      </c>
      <c r="B45" s="3" t="s">
        <v>33</v>
      </c>
      <c r="C45" s="3" t="s">
        <v>125</v>
      </c>
      <c r="D45" s="4">
        <v>106153</v>
      </c>
      <c r="E45" s="4">
        <v>0</v>
      </c>
      <c r="F45" s="4">
        <v>106153</v>
      </c>
      <c r="G45" s="3" t="s">
        <v>84</v>
      </c>
    </row>
    <row r="46" spans="1:7" ht="32" customHeight="1">
      <c r="A46" s="3" t="s">
        <v>124</v>
      </c>
      <c r="B46" s="3" t="s">
        <v>85</v>
      </c>
      <c r="C46" s="3" t="s">
        <v>125</v>
      </c>
      <c r="D46" s="4">
        <v>0</v>
      </c>
      <c r="E46" s="4">
        <v>106153</v>
      </c>
      <c r="F46" s="4">
        <v>-106153</v>
      </c>
      <c r="G46" s="3" t="s">
        <v>84</v>
      </c>
    </row>
    <row r="47" spans="1:7" ht="32" customHeight="1">
      <c r="A47" s="3" t="s">
        <v>126</v>
      </c>
      <c r="B47" s="3" t="s">
        <v>33</v>
      </c>
      <c r="C47" s="3" t="s">
        <v>127</v>
      </c>
      <c r="D47" s="4">
        <v>120413</v>
      </c>
      <c r="E47" s="4">
        <v>0</v>
      </c>
      <c r="F47" s="4">
        <v>120413</v>
      </c>
      <c r="G47" s="3" t="s">
        <v>84</v>
      </c>
    </row>
    <row r="48" spans="1:7" ht="32" customHeight="1">
      <c r="A48" s="3" t="s">
        <v>126</v>
      </c>
      <c r="B48" s="3" t="s">
        <v>85</v>
      </c>
      <c r="C48" s="3" t="s">
        <v>127</v>
      </c>
      <c r="D48" s="4">
        <v>0</v>
      </c>
      <c r="E48" s="4">
        <v>120413</v>
      </c>
      <c r="F48" s="4">
        <v>-120413</v>
      </c>
      <c r="G48" s="3" t="s">
        <v>84</v>
      </c>
    </row>
    <row r="49" spans="1:7" ht="32" customHeight="1">
      <c r="A49" s="3" t="s">
        <v>128</v>
      </c>
      <c r="B49" s="3" t="s">
        <v>33</v>
      </c>
      <c r="C49" s="3" t="s">
        <v>129</v>
      </c>
      <c r="D49" s="4">
        <v>115132</v>
      </c>
      <c r="E49" s="4">
        <v>0</v>
      </c>
      <c r="F49" s="4">
        <v>115132</v>
      </c>
      <c r="G49" s="3" t="s">
        <v>84</v>
      </c>
    </row>
    <row r="50" spans="1:7" ht="32" customHeight="1">
      <c r="A50" s="3" t="s">
        <v>128</v>
      </c>
      <c r="B50" s="3" t="s">
        <v>85</v>
      </c>
      <c r="C50" s="3" t="s">
        <v>129</v>
      </c>
      <c r="D50" s="4">
        <v>0</v>
      </c>
      <c r="E50" s="4">
        <v>115132</v>
      </c>
      <c r="F50" s="4">
        <v>-115132</v>
      </c>
      <c r="G50" s="3" t="s">
        <v>84</v>
      </c>
    </row>
    <row r="51" spans="1:7" ht="32" customHeight="1">
      <c r="A51" s="3" t="s">
        <v>130</v>
      </c>
      <c r="B51" s="3" t="s">
        <v>33</v>
      </c>
      <c r="C51" s="3" t="s">
        <v>131</v>
      </c>
      <c r="D51" s="4">
        <v>109322</v>
      </c>
      <c r="E51" s="4">
        <v>0</v>
      </c>
      <c r="F51" s="4">
        <v>109322</v>
      </c>
      <c r="G51" s="3" t="s">
        <v>84</v>
      </c>
    </row>
    <row r="52" spans="1:7" ht="32" customHeight="1">
      <c r="A52" s="3" t="s">
        <v>130</v>
      </c>
      <c r="B52" s="3" t="s">
        <v>85</v>
      </c>
      <c r="C52" s="3" t="s">
        <v>131</v>
      </c>
      <c r="D52" s="4">
        <v>0</v>
      </c>
      <c r="E52" s="4">
        <v>109322</v>
      </c>
      <c r="F52" s="4">
        <v>-109322</v>
      </c>
      <c r="G52" s="3" t="s">
        <v>84</v>
      </c>
    </row>
    <row r="53" spans="1:7" ht="32" customHeight="1">
      <c r="A53" s="3" t="s">
        <v>132</v>
      </c>
      <c r="B53" s="3" t="s">
        <v>33</v>
      </c>
      <c r="C53" s="3" t="s">
        <v>133</v>
      </c>
      <c r="D53" s="4">
        <v>103513</v>
      </c>
      <c r="E53" s="4">
        <v>0</v>
      </c>
      <c r="F53" s="4">
        <v>103513</v>
      </c>
      <c r="G53" s="3" t="s">
        <v>84</v>
      </c>
    </row>
    <row r="54" spans="1:7" ht="32" customHeight="1">
      <c r="A54" s="3" t="s">
        <v>132</v>
      </c>
      <c r="B54" s="3" t="s">
        <v>85</v>
      </c>
      <c r="C54" s="3" t="s">
        <v>133</v>
      </c>
      <c r="D54" s="4">
        <v>0</v>
      </c>
      <c r="E54" s="4">
        <v>103513</v>
      </c>
      <c r="F54" s="4">
        <v>-103513</v>
      </c>
      <c r="G54" s="3" t="s">
        <v>84</v>
      </c>
    </row>
    <row r="55" spans="1:7" ht="32" customHeight="1">
      <c r="A55" s="3" t="s">
        <v>134</v>
      </c>
      <c r="B55" s="3" t="s">
        <v>33</v>
      </c>
      <c r="C55" s="3" t="s">
        <v>135</v>
      </c>
      <c r="D55" s="4">
        <v>179626</v>
      </c>
      <c r="E55" s="4">
        <v>0</v>
      </c>
      <c r="F55" s="4">
        <v>179626</v>
      </c>
      <c r="G55" s="3" t="s">
        <v>84</v>
      </c>
    </row>
    <row r="56" spans="1:7" ht="32" customHeight="1">
      <c r="A56" s="3" t="s">
        <v>134</v>
      </c>
      <c r="B56" s="3" t="s">
        <v>85</v>
      </c>
      <c r="C56" s="3" t="s">
        <v>135</v>
      </c>
      <c r="D56" s="4">
        <v>0</v>
      </c>
      <c r="E56" s="4">
        <v>179626</v>
      </c>
      <c r="F56" s="4">
        <v>-179626</v>
      </c>
      <c r="G56" s="3" t="s">
        <v>84</v>
      </c>
    </row>
    <row r="57" spans="1:7" ht="32" customHeight="1">
      <c r="A57" s="3" t="s">
        <v>136</v>
      </c>
      <c r="B57" s="3" t="s">
        <v>33</v>
      </c>
      <c r="C57" s="3" t="s">
        <v>137</v>
      </c>
      <c r="D57" s="4">
        <v>95357</v>
      </c>
      <c r="E57" s="4">
        <v>0</v>
      </c>
      <c r="F57" s="4">
        <v>95357</v>
      </c>
      <c r="G57" s="3" t="s">
        <v>84</v>
      </c>
    </row>
    <row r="58" spans="1:7" ht="32" customHeight="1">
      <c r="A58" s="3" t="s">
        <v>136</v>
      </c>
      <c r="B58" s="3" t="s">
        <v>85</v>
      </c>
      <c r="C58" s="3" t="s">
        <v>137</v>
      </c>
      <c r="D58" s="4">
        <v>0</v>
      </c>
      <c r="E58" s="4">
        <v>95357</v>
      </c>
      <c r="F58" s="4">
        <v>-95357</v>
      </c>
      <c r="G58" s="3" t="s">
        <v>84</v>
      </c>
    </row>
    <row r="59" spans="1:7" ht="32" customHeight="1">
      <c r="A59" s="3" t="s">
        <v>138</v>
      </c>
      <c r="B59" s="3" t="s">
        <v>33</v>
      </c>
      <c r="C59" s="3" t="s">
        <v>139</v>
      </c>
      <c r="D59" s="4">
        <v>88704</v>
      </c>
      <c r="E59" s="4">
        <v>0</v>
      </c>
      <c r="F59" s="4">
        <v>88704</v>
      </c>
      <c r="G59" s="3" t="s">
        <v>84</v>
      </c>
    </row>
    <row r="60" spans="1:7" ht="32" customHeight="1">
      <c r="A60" s="3" t="s">
        <v>138</v>
      </c>
      <c r="B60" s="3" t="s">
        <v>85</v>
      </c>
      <c r="C60" s="3" t="s">
        <v>139</v>
      </c>
      <c r="D60" s="4">
        <v>0</v>
      </c>
      <c r="E60" s="4">
        <v>88704</v>
      </c>
      <c r="F60" s="4">
        <v>-88704</v>
      </c>
      <c r="G60" s="3" t="s">
        <v>84</v>
      </c>
    </row>
    <row r="61" spans="1:7" ht="32" customHeight="1">
      <c r="A61" s="3" t="s">
        <v>140</v>
      </c>
      <c r="B61" s="3" t="s">
        <v>33</v>
      </c>
      <c r="C61" s="3" t="s">
        <v>141</v>
      </c>
      <c r="D61" s="4">
        <v>79833</v>
      </c>
      <c r="E61" s="4">
        <v>0</v>
      </c>
      <c r="F61" s="4">
        <v>79833</v>
      </c>
      <c r="G61" s="3" t="s">
        <v>84</v>
      </c>
    </row>
    <row r="62" spans="1:7" ht="32" customHeight="1">
      <c r="A62" s="3" t="s">
        <v>140</v>
      </c>
      <c r="B62" s="3" t="s">
        <v>85</v>
      </c>
      <c r="C62" s="3" t="s">
        <v>141</v>
      </c>
      <c r="D62" s="4">
        <v>0</v>
      </c>
      <c r="E62" s="4">
        <v>79833</v>
      </c>
      <c r="F62" s="4">
        <v>-79833</v>
      </c>
      <c r="G62" s="3" t="s">
        <v>84</v>
      </c>
    </row>
    <row r="63" spans="1:7" ht="32" customHeight="1">
      <c r="A63" s="3" t="s">
        <v>142</v>
      </c>
      <c r="B63" s="3" t="s">
        <v>143</v>
      </c>
      <c r="C63" s="3" t="s">
        <v>144</v>
      </c>
      <c r="D63" s="4">
        <v>516154</v>
      </c>
      <c r="E63" s="4">
        <v>0</v>
      </c>
      <c r="F63" s="4">
        <v>516154</v>
      </c>
      <c r="G63" s="3" t="s">
        <v>84</v>
      </c>
    </row>
    <row r="64" spans="1:7" ht="32" customHeight="1">
      <c r="A64" s="3" t="s">
        <v>142</v>
      </c>
      <c r="B64" s="3" t="s">
        <v>55</v>
      </c>
      <c r="C64" s="3" t="s">
        <v>144</v>
      </c>
      <c r="D64" s="4">
        <v>0</v>
      </c>
      <c r="E64" s="4">
        <v>516154</v>
      </c>
      <c r="F64" s="4">
        <v>-516154</v>
      </c>
      <c r="G64" s="3" t="s">
        <v>84</v>
      </c>
    </row>
    <row r="65" spans="1:7" ht="32" customHeight="1">
      <c r="A65" s="3" t="s">
        <v>145</v>
      </c>
      <c r="B65" s="3" t="s">
        <v>146</v>
      </c>
      <c r="C65" s="3" t="s">
        <v>147</v>
      </c>
      <c r="D65" s="4">
        <v>112992</v>
      </c>
      <c r="E65" s="4">
        <v>0</v>
      </c>
      <c r="F65" s="4">
        <v>112992</v>
      </c>
      <c r="G65" s="3" t="s">
        <v>84</v>
      </c>
    </row>
    <row r="66" spans="1:7" ht="32" customHeight="1">
      <c r="A66" s="3" t="s">
        <v>145</v>
      </c>
      <c r="B66" s="3" t="s">
        <v>55</v>
      </c>
      <c r="C66" s="3" t="s">
        <v>147</v>
      </c>
      <c r="D66" s="4">
        <v>0</v>
      </c>
      <c r="E66" s="4">
        <v>112992</v>
      </c>
      <c r="F66" s="4">
        <v>-112992</v>
      </c>
      <c r="G66" s="3" t="s">
        <v>84</v>
      </c>
    </row>
    <row r="67" spans="1:7" ht="32" customHeight="1">
      <c r="A67" s="3" t="s">
        <v>148</v>
      </c>
      <c r="B67" s="3" t="s">
        <v>146</v>
      </c>
      <c r="C67" s="3" t="s">
        <v>149</v>
      </c>
      <c r="D67" s="4">
        <v>150487</v>
      </c>
      <c r="E67" s="4">
        <v>0</v>
      </c>
      <c r="F67" s="4">
        <v>150487</v>
      </c>
      <c r="G67" s="3" t="s">
        <v>84</v>
      </c>
    </row>
    <row r="68" spans="1:7" ht="32" customHeight="1">
      <c r="A68" s="3" t="s">
        <v>148</v>
      </c>
      <c r="B68" s="3" t="s">
        <v>55</v>
      </c>
      <c r="C68" s="3" t="s">
        <v>149</v>
      </c>
      <c r="D68" s="4">
        <v>0</v>
      </c>
      <c r="E68" s="4">
        <v>150487</v>
      </c>
      <c r="F68" s="4">
        <v>-150487</v>
      </c>
      <c r="G68" s="3" t="s">
        <v>84</v>
      </c>
    </row>
    <row r="69" spans="1:7" ht="32" customHeight="1">
      <c r="A69" s="3" t="s">
        <v>150</v>
      </c>
      <c r="B69" s="3" t="s">
        <v>146</v>
      </c>
      <c r="C69" s="3" t="s">
        <v>151</v>
      </c>
      <c r="D69" s="4">
        <v>114177</v>
      </c>
      <c r="E69" s="4">
        <v>0</v>
      </c>
      <c r="F69" s="4">
        <v>114177</v>
      </c>
      <c r="G69" s="3" t="s">
        <v>84</v>
      </c>
    </row>
    <row r="70" spans="1:7" ht="32" customHeight="1">
      <c r="A70" s="3" t="s">
        <v>150</v>
      </c>
      <c r="B70" s="3" t="s">
        <v>55</v>
      </c>
      <c r="C70" s="3" t="s">
        <v>151</v>
      </c>
      <c r="D70" s="4">
        <v>0</v>
      </c>
      <c r="E70" s="4">
        <v>114177</v>
      </c>
      <c r="F70" s="4">
        <v>-114177</v>
      </c>
      <c r="G70" s="3" t="s">
        <v>84</v>
      </c>
    </row>
    <row r="71" spans="1:7" ht="32" customHeight="1">
      <c r="A71" s="3" t="s">
        <v>152</v>
      </c>
      <c r="B71" s="3" t="s">
        <v>146</v>
      </c>
      <c r="C71" s="3" t="s">
        <v>153</v>
      </c>
      <c r="D71" s="4">
        <v>110192</v>
      </c>
      <c r="E71" s="4">
        <v>0</v>
      </c>
      <c r="F71" s="4">
        <v>110192</v>
      </c>
      <c r="G71" s="3" t="s">
        <v>84</v>
      </c>
    </row>
    <row r="72" spans="1:7" ht="32" customHeight="1">
      <c r="A72" s="3" t="s">
        <v>152</v>
      </c>
      <c r="B72" s="3" t="s">
        <v>55</v>
      </c>
      <c r="C72" s="3" t="s">
        <v>153</v>
      </c>
      <c r="D72" s="4">
        <v>0</v>
      </c>
      <c r="E72" s="4">
        <v>110192</v>
      </c>
      <c r="F72" s="4">
        <v>-110192</v>
      </c>
      <c r="G72" s="3" t="s">
        <v>84</v>
      </c>
    </row>
    <row r="73" spans="1:7" ht="32" customHeight="1">
      <c r="A73" s="3" t="s">
        <v>154</v>
      </c>
      <c r="B73" s="3" t="s">
        <v>146</v>
      </c>
      <c r="C73" s="3" t="s">
        <v>155</v>
      </c>
      <c r="D73" s="4">
        <v>123164</v>
      </c>
      <c r="E73" s="4">
        <v>0</v>
      </c>
      <c r="F73" s="4">
        <v>123164</v>
      </c>
      <c r="G73" s="3" t="s">
        <v>84</v>
      </c>
    </row>
    <row r="74" spans="1:7" ht="32" customHeight="1">
      <c r="A74" s="3" t="s">
        <v>154</v>
      </c>
      <c r="B74" s="3" t="s">
        <v>55</v>
      </c>
      <c r="C74" s="3" t="s">
        <v>155</v>
      </c>
      <c r="D74" s="4">
        <v>0</v>
      </c>
      <c r="E74" s="4">
        <v>123164</v>
      </c>
      <c r="F74" s="4">
        <v>-123164</v>
      </c>
      <c r="G74" s="3" t="s">
        <v>84</v>
      </c>
    </row>
    <row r="75" spans="1:7" ht="32" customHeight="1">
      <c r="A75" s="3" t="s">
        <v>156</v>
      </c>
      <c r="B75" s="3" t="s">
        <v>143</v>
      </c>
      <c r="C75" s="3" t="s">
        <v>157</v>
      </c>
      <c r="D75" s="4">
        <v>200784</v>
      </c>
      <c r="E75" s="4">
        <v>0</v>
      </c>
      <c r="F75" s="4">
        <v>200784</v>
      </c>
      <c r="G75" s="3" t="s">
        <v>84</v>
      </c>
    </row>
    <row r="76" spans="1:7" ht="32" customHeight="1">
      <c r="A76" s="3" t="s">
        <v>156</v>
      </c>
      <c r="B76" s="3" t="s">
        <v>55</v>
      </c>
      <c r="C76" s="3" t="s">
        <v>157</v>
      </c>
      <c r="D76" s="4">
        <v>0</v>
      </c>
      <c r="E76" s="4">
        <v>200784</v>
      </c>
      <c r="F76" s="4">
        <v>-200784</v>
      </c>
      <c r="G76" s="3" t="s">
        <v>84</v>
      </c>
    </row>
    <row r="77" spans="1:7" ht="32" customHeight="1">
      <c r="A77" s="3" t="s">
        <v>158</v>
      </c>
      <c r="B77" s="3" t="s">
        <v>146</v>
      </c>
      <c r="C77" s="3" t="s">
        <v>159</v>
      </c>
      <c r="D77" s="4">
        <v>112695</v>
      </c>
      <c r="E77" s="4">
        <v>0</v>
      </c>
      <c r="F77" s="4">
        <v>112695</v>
      </c>
      <c r="G77" s="3" t="s">
        <v>84</v>
      </c>
    </row>
    <row r="78" spans="1:7" ht="32" customHeight="1">
      <c r="A78" s="3" t="s">
        <v>158</v>
      </c>
      <c r="B78" s="3" t="s">
        <v>55</v>
      </c>
      <c r="C78" s="3" t="s">
        <v>159</v>
      </c>
      <c r="D78" s="4">
        <v>0</v>
      </c>
      <c r="E78" s="4">
        <v>112695</v>
      </c>
      <c r="F78" s="4">
        <v>-112695</v>
      </c>
      <c r="G78" s="3" t="s">
        <v>84</v>
      </c>
    </row>
    <row r="79" spans="1:7" ht="32" customHeight="1">
      <c r="A79" s="3" t="s">
        <v>160</v>
      </c>
      <c r="B79" s="3" t="s">
        <v>146</v>
      </c>
      <c r="C79" s="3" t="s">
        <v>161</v>
      </c>
      <c r="D79" s="4">
        <v>120358</v>
      </c>
      <c r="E79" s="4">
        <v>0</v>
      </c>
      <c r="F79" s="4">
        <v>120358</v>
      </c>
      <c r="G79" s="3" t="s">
        <v>84</v>
      </c>
    </row>
    <row r="80" spans="1:7" ht="32" customHeight="1">
      <c r="A80" s="3" t="s">
        <v>160</v>
      </c>
      <c r="B80" s="3" t="s">
        <v>55</v>
      </c>
      <c r="C80" s="3" t="s">
        <v>161</v>
      </c>
      <c r="D80" s="4">
        <v>0</v>
      </c>
      <c r="E80" s="4">
        <v>120358</v>
      </c>
      <c r="F80" s="4">
        <v>-120358</v>
      </c>
      <c r="G80" s="3" t="s">
        <v>84</v>
      </c>
    </row>
    <row r="81" spans="1:7" ht="32" customHeight="1">
      <c r="A81" s="3" t="s">
        <v>162</v>
      </c>
      <c r="B81" s="3" t="s">
        <v>146</v>
      </c>
      <c r="C81" s="3" t="s">
        <v>163</v>
      </c>
      <c r="D81" s="4">
        <v>101650</v>
      </c>
      <c r="E81" s="4">
        <v>0</v>
      </c>
      <c r="F81" s="4">
        <v>101650</v>
      </c>
      <c r="G81" s="3" t="s">
        <v>84</v>
      </c>
    </row>
    <row r="82" spans="1:7" ht="32" customHeight="1">
      <c r="A82" s="3" t="s">
        <v>162</v>
      </c>
      <c r="B82" s="3" t="s">
        <v>55</v>
      </c>
      <c r="C82" s="3" t="s">
        <v>163</v>
      </c>
      <c r="D82" s="4">
        <v>0</v>
      </c>
      <c r="E82" s="4">
        <v>101650</v>
      </c>
      <c r="F82" s="4">
        <v>-101650</v>
      </c>
      <c r="G82" s="3" t="s">
        <v>84</v>
      </c>
    </row>
    <row r="83" spans="1:7" ht="32" customHeight="1">
      <c r="A83" s="3" t="s">
        <v>164</v>
      </c>
      <c r="B83" s="3" t="s">
        <v>146</v>
      </c>
      <c r="C83" s="3" t="s">
        <v>165</v>
      </c>
      <c r="D83" s="4">
        <v>77962</v>
      </c>
      <c r="E83" s="4">
        <v>0</v>
      </c>
      <c r="F83" s="4">
        <v>77962</v>
      </c>
      <c r="G83" s="3" t="s">
        <v>84</v>
      </c>
    </row>
    <row r="84" spans="1:7" ht="32" customHeight="1">
      <c r="A84" s="3" t="s">
        <v>164</v>
      </c>
      <c r="B84" s="3" t="s">
        <v>55</v>
      </c>
      <c r="C84" s="3" t="s">
        <v>165</v>
      </c>
      <c r="D84" s="4">
        <v>0</v>
      </c>
      <c r="E84" s="4">
        <v>77962</v>
      </c>
      <c r="F84" s="4">
        <v>-77962</v>
      </c>
      <c r="G84" s="3" t="s">
        <v>84</v>
      </c>
    </row>
    <row r="85" spans="1:7" ht="32" customHeight="1">
      <c r="A85" s="3" t="s">
        <v>166</v>
      </c>
      <c r="B85" s="3" t="s">
        <v>146</v>
      </c>
      <c r="C85" s="3" t="s">
        <v>167</v>
      </c>
      <c r="D85" s="4">
        <v>73939</v>
      </c>
      <c r="E85" s="4">
        <v>0</v>
      </c>
      <c r="F85" s="4">
        <v>73939</v>
      </c>
      <c r="G85" s="3" t="s">
        <v>84</v>
      </c>
    </row>
    <row r="86" spans="1:7" ht="32" customHeight="1">
      <c r="A86" s="3" t="s">
        <v>166</v>
      </c>
      <c r="B86" s="3" t="s">
        <v>55</v>
      </c>
      <c r="C86" s="3" t="s">
        <v>167</v>
      </c>
      <c r="D86" s="4">
        <v>0</v>
      </c>
      <c r="E86" s="4">
        <v>73939</v>
      </c>
      <c r="F86" s="4">
        <v>-73939</v>
      </c>
      <c r="G86" s="3" t="s">
        <v>84</v>
      </c>
    </row>
    <row r="87" spans="1:7" ht="32" customHeight="1">
      <c r="A87" s="3" t="s">
        <v>168</v>
      </c>
      <c r="B87" s="3" t="s">
        <v>143</v>
      </c>
      <c r="C87" s="3" t="s">
        <v>169</v>
      </c>
      <c r="D87" s="4">
        <v>194118</v>
      </c>
      <c r="E87" s="4">
        <v>0</v>
      </c>
      <c r="F87" s="4">
        <v>194118</v>
      </c>
      <c r="G87" s="3" t="s">
        <v>84</v>
      </c>
    </row>
    <row r="88" spans="1:7" ht="32" customHeight="1">
      <c r="A88" s="3" t="s">
        <v>168</v>
      </c>
      <c r="B88" s="3" t="s">
        <v>55</v>
      </c>
      <c r="C88" s="3" t="s">
        <v>169</v>
      </c>
      <c r="D88" s="4">
        <v>0</v>
      </c>
      <c r="E88" s="4">
        <v>194118</v>
      </c>
      <c r="F88" s="4">
        <v>-194118</v>
      </c>
      <c r="G88" s="3" t="s">
        <v>84</v>
      </c>
    </row>
    <row r="89" spans="1:7" ht="32" customHeight="1">
      <c r="A89" s="3" t="s">
        <v>170</v>
      </c>
      <c r="B89" s="3" t="s">
        <v>146</v>
      </c>
      <c r="C89" s="3" t="s">
        <v>171</v>
      </c>
      <c r="D89" s="4">
        <v>93532</v>
      </c>
      <c r="E89" s="4">
        <v>0</v>
      </c>
      <c r="F89" s="4">
        <v>93532</v>
      </c>
      <c r="G89" s="3" t="s">
        <v>84</v>
      </c>
    </row>
    <row r="90" spans="1:7" ht="32" customHeight="1">
      <c r="A90" s="3" t="s">
        <v>170</v>
      </c>
      <c r="B90" s="3" t="s">
        <v>55</v>
      </c>
      <c r="C90" s="3" t="s">
        <v>171</v>
      </c>
      <c r="D90" s="4">
        <v>0</v>
      </c>
      <c r="E90" s="4">
        <v>93532</v>
      </c>
      <c r="F90" s="4">
        <v>-93532</v>
      </c>
      <c r="G90" s="3" t="s">
        <v>84</v>
      </c>
    </row>
    <row r="91" spans="1:7" ht="32" customHeight="1">
      <c r="A91" s="3" t="s">
        <v>172</v>
      </c>
      <c r="B91" s="3" t="s">
        <v>146</v>
      </c>
      <c r="C91" s="3" t="s">
        <v>173</v>
      </c>
      <c r="D91" s="4">
        <v>71343</v>
      </c>
      <c r="E91" s="4">
        <v>0</v>
      </c>
      <c r="F91" s="4">
        <v>71343</v>
      </c>
      <c r="G91" s="3" t="s">
        <v>84</v>
      </c>
    </row>
    <row r="92" spans="1:7" ht="32" customHeight="1">
      <c r="A92" s="3" t="s">
        <v>172</v>
      </c>
      <c r="B92" s="3" t="s">
        <v>55</v>
      </c>
      <c r="C92" s="3" t="s">
        <v>173</v>
      </c>
      <c r="D92" s="4">
        <v>0</v>
      </c>
      <c r="E92" s="4">
        <v>71343</v>
      </c>
      <c r="F92" s="4">
        <v>-71343</v>
      </c>
      <c r="G92" s="3" t="s">
        <v>84</v>
      </c>
    </row>
    <row r="93" spans="1:7" ht="32" customHeight="1">
      <c r="A93" s="3" t="s">
        <v>174</v>
      </c>
      <c r="B93" s="3" t="s">
        <v>146</v>
      </c>
      <c r="C93" s="3" t="s">
        <v>175</v>
      </c>
      <c r="D93" s="4">
        <v>60248</v>
      </c>
      <c r="E93" s="4">
        <v>0</v>
      </c>
      <c r="F93" s="4">
        <v>60248</v>
      </c>
      <c r="G93" s="3" t="s">
        <v>84</v>
      </c>
    </row>
    <row r="94" spans="1:7" ht="32" customHeight="1">
      <c r="A94" s="3" t="s">
        <v>174</v>
      </c>
      <c r="B94" s="3" t="s">
        <v>55</v>
      </c>
      <c r="C94" s="3" t="s">
        <v>175</v>
      </c>
      <c r="D94" s="4">
        <v>0</v>
      </c>
      <c r="E94" s="4">
        <v>60248</v>
      </c>
      <c r="F94" s="4">
        <v>-60248</v>
      </c>
      <c r="G94" s="3" t="s">
        <v>84</v>
      </c>
    </row>
    <row r="95" spans="1:7" ht="32" customHeight="1">
      <c r="A95" s="3" t="s">
        <v>176</v>
      </c>
      <c r="B95" s="3" t="s">
        <v>146</v>
      </c>
      <c r="C95" s="3" t="s">
        <v>177</v>
      </c>
      <c r="D95" s="4">
        <v>30805</v>
      </c>
      <c r="E95" s="4">
        <v>0</v>
      </c>
      <c r="F95" s="4">
        <v>30805</v>
      </c>
      <c r="G95" s="3" t="s">
        <v>84</v>
      </c>
    </row>
    <row r="96" spans="1:7" ht="32" customHeight="1">
      <c r="A96" s="3" t="s">
        <v>176</v>
      </c>
      <c r="B96" s="3" t="s">
        <v>55</v>
      </c>
      <c r="C96" s="3" t="s">
        <v>177</v>
      </c>
      <c r="D96" s="4">
        <v>0</v>
      </c>
      <c r="E96" s="4">
        <v>30805</v>
      </c>
      <c r="F96" s="4">
        <v>-30805</v>
      </c>
      <c r="G96" s="3" t="s">
        <v>84</v>
      </c>
    </row>
    <row r="97" spans="1:7" ht="32" customHeight="1">
      <c r="A97" s="3" t="s">
        <v>178</v>
      </c>
      <c r="B97" s="3" t="s">
        <v>146</v>
      </c>
      <c r="C97" s="3" t="s">
        <v>179</v>
      </c>
      <c r="D97" s="4">
        <v>29217</v>
      </c>
      <c r="E97" s="4">
        <v>0</v>
      </c>
      <c r="F97" s="4">
        <v>29217</v>
      </c>
      <c r="G97" s="3" t="s">
        <v>84</v>
      </c>
    </row>
    <row r="98" spans="1:7" ht="32" customHeight="1">
      <c r="A98" s="3" t="s">
        <v>178</v>
      </c>
      <c r="B98" s="3" t="s">
        <v>55</v>
      </c>
      <c r="C98" s="3" t="s">
        <v>179</v>
      </c>
      <c r="D98" s="4">
        <v>0</v>
      </c>
      <c r="E98" s="4">
        <v>29217</v>
      </c>
      <c r="F98" s="4">
        <v>-29217</v>
      </c>
      <c r="G98" s="3" t="s">
        <v>84</v>
      </c>
    </row>
    <row r="99" spans="1:7" ht="32" customHeight="1">
      <c r="A99" s="3" t="s">
        <v>180</v>
      </c>
      <c r="B99" s="3" t="s">
        <v>143</v>
      </c>
      <c r="C99" s="3" t="s">
        <v>181</v>
      </c>
      <c r="D99" s="4">
        <v>92175</v>
      </c>
      <c r="E99" s="4">
        <v>0</v>
      </c>
      <c r="F99" s="4">
        <v>92175</v>
      </c>
      <c r="G99" s="3" t="s">
        <v>84</v>
      </c>
    </row>
    <row r="100" spans="1:7" ht="32" customHeight="1">
      <c r="A100" s="3" t="s">
        <v>180</v>
      </c>
      <c r="B100" s="3" t="s">
        <v>55</v>
      </c>
      <c r="C100" s="3" t="s">
        <v>181</v>
      </c>
      <c r="D100" s="4">
        <v>0</v>
      </c>
      <c r="E100" s="4">
        <v>92175</v>
      </c>
      <c r="F100" s="4">
        <v>-92175</v>
      </c>
      <c r="G100" s="3" t="s">
        <v>84</v>
      </c>
    </row>
    <row r="101" spans="1:7" ht="32" customHeight="1">
      <c r="A101" s="3" t="s">
        <v>182</v>
      </c>
      <c r="B101" s="3" t="s">
        <v>146</v>
      </c>
      <c r="C101" s="3" t="s">
        <v>183</v>
      </c>
      <c r="D101" s="4">
        <v>53070</v>
      </c>
      <c r="E101" s="4">
        <v>0</v>
      </c>
      <c r="F101" s="4">
        <v>53070</v>
      </c>
      <c r="G101" s="3" t="s">
        <v>84</v>
      </c>
    </row>
    <row r="102" spans="1:7" ht="32" customHeight="1">
      <c r="A102" s="3" t="s">
        <v>182</v>
      </c>
      <c r="B102" s="3" t="s">
        <v>55</v>
      </c>
      <c r="C102" s="3" t="s">
        <v>183</v>
      </c>
      <c r="D102" s="4">
        <v>0</v>
      </c>
      <c r="E102" s="4">
        <v>53070</v>
      </c>
      <c r="F102" s="4">
        <v>-53070</v>
      </c>
      <c r="G102" s="3" t="s">
        <v>84</v>
      </c>
    </row>
    <row r="103" spans="1:7" ht="32" customHeight="1">
      <c r="A103" s="3" t="s">
        <v>184</v>
      </c>
      <c r="B103" s="3" t="s">
        <v>146</v>
      </c>
      <c r="C103" s="3" t="s">
        <v>185</v>
      </c>
      <c r="D103" s="4">
        <v>32387</v>
      </c>
      <c r="E103" s="4">
        <v>0</v>
      </c>
      <c r="F103" s="4">
        <v>32387</v>
      </c>
      <c r="G103" s="3" t="s">
        <v>84</v>
      </c>
    </row>
    <row r="104" spans="1:7" ht="32" customHeight="1">
      <c r="A104" s="3" t="s">
        <v>184</v>
      </c>
      <c r="B104" s="3" t="s">
        <v>55</v>
      </c>
      <c r="C104" s="3" t="s">
        <v>185</v>
      </c>
      <c r="D104" s="4">
        <v>0</v>
      </c>
      <c r="E104" s="4">
        <v>32387</v>
      </c>
      <c r="F104" s="4">
        <v>-32387</v>
      </c>
      <c r="G104" s="3" t="s">
        <v>84</v>
      </c>
    </row>
    <row r="105" spans="1:7" ht="32" customHeight="1">
      <c r="A105" s="3" t="s">
        <v>186</v>
      </c>
      <c r="B105" s="3" t="s">
        <v>146</v>
      </c>
      <c r="C105" s="3" t="s">
        <v>187</v>
      </c>
      <c r="D105" s="4">
        <v>25644</v>
      </c>
      <c r="E105" s="4">
        <v>0</v>
      </c>
      <c r="F105" s="4">
        <v>25644</v>
      </c>
      <c r="G105" s="3" t="s">
        <v>84</v>
      </c>
    </row>
    <row r="106" spans="1:7" ht="32" customHeight="1">
      <c r="A106" s="3" t="s">
        <v>186</v>
      </c>
      <c r="B106" s="3" t="s">
        <v>55</v>
      </c>
      <c r="C106" s="3" t="s">
        <v>187</v>
      </c>
      <c r="D106" s="4">
        <v>0</v>
      </c>
      <c r="E106" s="4">
        <v>25644</v>
      </c>
      <c r="F106" s="4">
        <v>-25644</v>
      </c>
      <c r="G106" s="3" t="s">
        <v>84</v>
      </c>
    </row>
    <row r="107" spans="1:7" ht="32" customHeight="1">
      <c r="A107" s="3" t="s">
        <v>188</v>
      </c>
      <c r="B107" s="3" t="s">
        <v>146</v>
      </c>
      <c r="C107" s="3" t="s">
        <v>189</v>
      </c>
      <c r="D107" s="4">
        <v>26223</v>
      </c>
      <c r="E107" s="4">
        <v>0</v>
      </c>
      <c r="F107" s="4">
        <v>26223</v>
      </c>
      <c r="G107" s="3" t="s">
        <v>84</v>
      </c>
    </row>
    <row r="108" spans="1:7" ht="32" customHeight="1">
      <c r="A108" s="3" t="s">
        <v>188</v>
      </c>
      <c r="B108" s="3" t="s">
        <v>55</v>
      </c>
      <c r="C108" s="3" t="s">
        <v>189</v>
      </c>
      <c r="D108" s="4">
        <v>0</v>
      </c>
      <c r="E108" s="4">
        <v>26223</v>
      </c>
      <c r="F108" s="4">
        <v>-26223</v>
      </c>
      <c r="G108" s="3" t="s">
        <v>84</v>
      </c>
    </row>
    <row r="109" spans="1:7" ht="32" customHeight="1">
      <c r="A109" s="3" t="s">
        <v>190</v>
      </c>
      <c r="B109" s="3" t="s">
        <v>146</v>
      </c>
      <c r="C109" s="3" t="s">
        <v>191</v>
      </c>
      <c r="D109" s="4">
        <v>24870</v>
      </c>
      <c r="E109" s="4">
        <v>0</v>
      </c>
      <c r="F109" s="4">
        <v>24870</v>
      </c>
      <c r="G109" s="3" t="s">
        <v>84</v>
      </c>
    </row>
    <row r="110" spans="1:7" ht="32" customHeight="1">
      <c r="A110" s="3" t="s">
        <v>190</v>
      </c>
      <c r="B110" s="3" t="s">
        <v>55</v>
      </c>
      <c r="C110" s="3" t="s">
        <v>191</v>
      </c>
      <c r="D110" s="4">
        <v>0</v>
      </c>
      <c r="E110" s="4">
        <v>24870</v>
      </c>
      <c r="F110" s="4">
        <v>-24870</v>
      </c>
      <c r="G110" s="3" t="s">
        <v>84</v>
      </c>
    </row>
    <row r="111" spans="1:7" ht="32" customHeight="1">
      <c r="A111" s="3" t="s">
        <v>192</v>
      </c>
      <c r="B111" s="3" t="s">
        <v>143</v>
      </c>
      <c r="C111" s="3" t="s">
        <v>193</v>
      </c>
      <c r="D111" s="4">
        <v>144008</v>
      </c>
      <c r="E111" s="4">
        <v>0</v>
      </c>
      <c r="F111" s="4">
        <v>144008</v>
      </c>
      <c r="G111" s="3" t="s">
        <v>84</v>
      </c>
    </row>
    <row r="112" spans="1:7" ht="32" customHeight="1">
      <c r="A112" s="3" t="s">
        <v>192</v>
      </c>
      <c r="B112" s="3" t="s">
        <v>55</v>
      </c>
      <c r="C112" s="3" t="s">
        <v>193</v>
      </c>
      <c r="D112" s="4">
        <v>0</v>
      </c>
      <c r="E112" s="4">
        <v>144008</v>
      </c>
      <c r="F112" s="4">
        <v>-144008</v>
      </c>
      <c r="G112" s="3" t="s">
        <v>84</v>
      </c>
    </row>
    <row r="113" spans="1:7" ht="32" customHeight="1">
      <c r="A113" s="3" t="s">
        <v>194</v>
      </c>
      <c r="B113" s="3" t="s">
        <v>146</v>
      </c>
      <c r="C113" s="3" t="s">
        <v>195</v>
      </c>
      <c r="D113" s="4">
        <v>12181</v>
      </c>
      <c r="E113" s="4">
        <v>0</v>
      </c>
      <c r="F113" s="4">
        <v>12181</v>
      </c>
      <c r="G113" s="3" t="s">
        <v>84</v>
      </c>
    </row>
    <row r="114" spans="1:7" ht="32" customHeight="1">
      <c r="A114" s="3" t="s">
        <v>194</v>
      </c>
      <c r="B114" s="3" t="s">
        <v>55</v>
      </c>
      <c r="C114" s="3" t="s">
        <v>195</v>
      </c>
      <c r="D114" s="4">
        <v>0</v>
      </c>
      <c r="E114" s="4">
        <v>12181</v>
      </c>
      <c r="F114" s="4">
        <v>-12181</v>
      </c>
      <c r="G114" s="3" t="s">
        <v>84</v>
      </c>
    </row>
    <row r="115" spans="1:7" ht="32" customHeight="1">
      <c r="A115" s="3" t="s">
        <v>196</v>
      </c>
      <c r="B115" s="3" t="s">
        <v>146</v>
      </c>
      <c r="C115" s="3" t="s">
        <v>197</v>
      </c>
      <c r="D115" s="4">
        <v>12181</v>
      </c>
      <c r="E115" s="4">
        <v>0</v>
      </c>
      <c r="F115" s="4">
        <v>12181</v>
      </c>
      <c r="G115" s="3" t="s">
        <v>84</v>
      </c>
    </row>
    <row r="116" spans="1:7" ht="32" customHeight="1">
      <c r="A116" s="3" t="s">
        <v>196</v>
      </c>
      <c r="B116" s="3" t="s">
        <v>55</v>
      </c>
      <c r="C116" s="3" t="s">
        <v>197</v>
      </c>
      <c r="D116" s="4">
        <v>0</v>
      </c>
      <c r="E116" s="4">
        <v>12181</v>
      </c>
      <c r="F116" s="4">
        <v>-12181</v>
      </c>
      <c r="G116" s="3" t="s">
        <v>84</v>
      </c>
    </row>
    <row r="117" spans="1:7" ht="32" customHeight="1">
      <c r="A117" s="3" t="s">
        <v>198</v>
      </c>
      <c r="B117" s="3" t="s">
        <v>146</v>
      </c>
      <c r="C117" s="3" t="s">
        <v>199</v>
      </c>
      <c r="D117" s="4">
        <v>9745</v>
      </c>
      <c r="E117" s="4">
        <v>0</v>
      </c>
      <c r="F117" s="4">
        <v>9745</v>
      </c>
      <c r="G117" s="3" t="s">
        <v>84</v>
      </c>
    </row>
    <row r="118" spans="1:7" ht="32" customHeight="1">
      <c r="A118" s="3" t="s">
        <v>198</v>
      </c>
      <c r="B118" s="3" t="s">
        <v>55</v>
      </c>
      <c r="C118" s="3" t="s">
        <v>199</v>
      </c>
      <c r="D118" s="4">
        <v>0</v>
      </c>
      <c r="E118" s="4">
        <v>9745</v>
      </c>
      <c r="F118" s="4">
        <v>-9745</v>
      </c>
      <c r="G118" s="3" t="s">
        <v>84</v>
      </c>
    </row>
    <row r="119" spans="1:7" ht="32" customHeight="1">
      <c r="A119" s="3" t="s">
        <v>200</v>
      </c>
      <c r="B119" s="3" t="s">
        <v>146</v>
      </c>
      <c r="C119" s="3" t="s">
        <v>201</v>
      </c>
      <c r="D119" s="4">
        <v>9745</v>
      </c>
      <c r="E119" s="4">
        <v>0</v>
      </c>
      <c r="F119" s="4">
        <v>9745</v>
      </c>
      <c r="G119" s="3" t="s">
        <v>84</v>
      </c>
    </row>
    <row r="120" spans="1:7" ht="32" customHeight="1">
      <c r="A120" s="3" t="s">
        <v>200</v>
      </c>
      <c r="B120" s="3" t="s">
        <v>55</v>
      </c>
      <c r="C120" s="3" t="s">
        <v>201</v>
      </c>
      <c r="D120" s="4">
        <v>0</v>
      </c>
      <c r="E120" s="4">
        <v>9745</v>
      </c>
      <c r="F120" s="4">
        <v>-9745</v>
      </c>
      <c r="G120" s="3" t="s">
        <v>84</v>
      </c>
    </row>
    <row r="121" spans="1:7" ht="32" customHeight="1">
      <c r="A121" s="3" t="s">
        <v>202</v>
      </c>
      <c r="B121" s="3" t="s">
        <v>146</v>
      </c>
      <c r="C121" s="3" t="s">
        <v>203</v>
      </c>
      <c r="D121" s="4">
        <v>4872</v>
      </c>
      <c r="E121" s="4">
        <v>0</v>
      </c>
      <c r="F121" s="4">
        <v>4872</v>
      </c>
      <c r="G121" s="3" t="s">
        <v>84</v>
      </c>
    </row>
    <row r="122" spans="1:7" ht="32" customHeight="1">
      <c r="A122" s="3" t="s">
        <v>202</v>
      </c>
      <c r="B122" s="3" t="s">
        <v>55</v>
      </c>
      <c r="C122" s="3" t="s">
        <v>203</v>
      </c>
      <c r="D122" s="4">
        <v>0</v>
      </c>
      <c r="E122" s="4">
        <v>4872</v>
      </c>
      <c r="F122" s="4">
        <v>-4872</v>
      </c>
      <c r="G122" s="3" t="s">
        <v>84</v>
      </c>
    </row>
    <row r="123" spans="1:7" ht="32" customHeight="1">
      <c r="A123" s="3" t="s">
        <v>204</v>
      </c>
      <c r="B123" s="3" t="s">
        <v>205</v>
      </c>
      <c r="C123" s="3" t="s">
        <v>206</v>
      </c>
      <c r="D123" s="4">
        <v>8219</v>
      </c>
      <c r="E123" s="4">
        <v>0</v>
      </c>
      <c r="F123" s="4">
        <v>8219</v>
      </c>
      <c r="G123" s="3" t="s">
        <v>84</v>
      </c>
    </row>
    <row r="124" spans="1:7" ht="32" customHeight="1">
      <c r="A124" s="3" t="s">
        <v>204</v>
      </c>
      <c r="B124" s="3" t="s">
        <v>59</v>
      </c>
      <c r="C124" s="3" t="s">
        <v>206</v>
      </c>
      <c r="D124" s="4">
        <v>0</v>
      </c>
      <c r="E124" s="4">
        <v>8219</v>
      </c>
      <c r="F124" s="4">
        <v>-8219</v>
      </c>
      <c r="G124" s="3" t="s">
        <v>84</v>
      </c>
    </row>
    <row r="125" spans="1:7" ht="32" customHeight="1">
      <c r="A125" s="3" t="s">
        <v>207</v>
      </c>
      <c r="B125" s="3" t="s">
        <v>37</v>
      </c>
      <c r="C125" s="3" t="s">
        <v>208</v>
      </c>
      <c r="D125" s="4">
        <v>13905</v>
      </c>
      <c r="E125" s="4">
        <v>0</v>
      </c>
      <c r="F125" s="4">
        <v>13905</v>
      </c>
      <c r="G125" s="3" t="s">
        <v>84</v>
      </c>
    </row>
    <row r="126" spans="1:7" ht="32" customHeight="1">
      <c r="A126" s="3" t="s">
        <v>207</v>
      </c>
      <c r="B126" s="3" t="s">
        <v>55</v>
      </c>
      <c r="C126" s="3" t="s">
        <v>208</v>
      </c>
      <c r="D126" s="4">
        <v>0</v>
      </c>
      <c r="E126" s="4">
        <v>13905</v>
      </c>
      <c r="F126" s="4">
        <v>-13905</v>
      </c>
      <c r="G126" s="3" t="s">
        <v>84</v>
      </c>
    </row>
    <row r="127" spans="1:7" ht="32" customHeight="1">
      <c r="A127" s="3" t="s">
        <v>209</v>
      </c>
      <c r="B127" s="3" t="s">
        <v>35</v>
      </c>
      <c r="C127" s="3" t="s">
        <v>210</v>
      </c>
      <c r="D127" s="4">
        <v>3876</v>
      </c>
      <c r="E127" s="4">
        <v>0</v>
      </c>
      <c r="F127" s="4">
        <v>3876</v>
      </c>
      <c r="G127" s="3" t="s">
        <v>84</v>
      </c>
    </row>
    <row r="128" spans="1:7" ht="32" customHeight="1">
      <c r="A128" s="3" t="s">
        <v>209</v>
      </c>
      <c r="B128" s="3" t="s">
        <v>211</v>
      </c>
      <c r="C128" s="3" t="s">
        <v>210</v>
      </c>
      <c r="D128" s="4">
        <v>0</v>
      </c>
      <c r="E128" s="4">
        <v>3876</v>
      </c>
      <c r="F128" s="4">
        <v>-3876</v>
      </c>
      <c r="G128" s="3" t="s">
        <v>84</v>
      </c>
    </row>
    <row r="129" spans="1:7" ht="32" customHeight="1">
      <c r="A129" s="3" t="s">
        <v>212</v>
      </c>
      <c r="B129" s="3" t="s">
        <v>213</v>
      </c>
      <c r="C129" s="3" t="s">
        <v>214</v>
      </c>
      <c r="D129" s="4">
        <v>1689</v>
      </c>
      <c r="E129" s="4">
        <v>0</v>
      </c>
      <c r="F129" s="4">
        <v>1689</v>
      </c>
      <c r="G129" s="3" t="s">
        <v>84</v>
      </c>
    </row>
    <row r="130" spans="1:7" ht="32" customHeight="1">
      <c r="A130" s="3" t="s">
        <v>212</v>
      </c>
      <c r="B130" s="3" t="s">
        <v>55</v>
      </c>
      <c r="C130" s="3" t="s">
        <v>214</v>
      </c>
      <c r="D130" s="4">
        <v>0</v>
      </c>
      <c r="E130" s="4">
        <v>1689</v>
      </c>
      <c r="F130" s="4">
        <v>-1689</v>
      </c>
      <c r="G130" s="3" t="s">
        <v>84</v>
      </c>
    </row>
    <row r="131" spans="1:7" ht="32" customHeight="1">
      <c r="A131" s="3" t="s">
        <v>215</v>
      </c>
      <c r="B131" s="3" t="s">
        <v>35</v>
      </c>
      <c r="C131" s="3" t="s">
        <v>216</v>
      </c>
      <c r="D131" s="4">
        <v>2856</v>
      </c>
      <c r="E131" s="4">
        <v>0</v>
      </c>
      <c r="F131" s="4">
        <v>2856</v>
      </c>
      <c r="G131" s="3" t="s">
        <v>84</v>
      </c>
    </row>
    <row r="132" spans="1:7" ht="32" customHeight="1">
      <c r="A132" s="3" t="s">
        <v>215</v>
      </c>
      <c r="B132" s="3" t="s">
        <v>211</v>
      </c>
      <c r="C132" s="3" t="s">
        <v>216</v>
      </c>
      <c r="D132" s="4">
        <v>0</v>
      </c>
      <c r="E132" s="4">
        <v>2856</v>
      </c>
      <c r="F132" s="4">
        <v>-2856</v>
      </c>
      <c r="G132" s="3" t="s">
        <v>84</v>
      </c>
    </row>
    <row r="133" spans="1:7" ht="32" customHeight="1">
      <c r="A133" s="3" t="s">
        <v>217</v>
      </c>
      <c r="B133" s="3" t="s">
        <v>213</v>
      </c>
      <c r="C133" s="3" t="s">
        <v>218</v>
      </c>
      <c r="D133" s="4">
        <v>1607</v>
      </c>
      <c r="E133" s="4">
        <v>0</v>
      </c>
      <c r="F133" s="4">
        <v>1607</v>
      </c>
      <c r="G133" s="3" t="s">
        <v>84</v>
      </c>
    </row>
    <row r="134" spans="1:7" ht="32" customHeight="1">
      <c r="A134" s="3" t="s">
        <v>217</v>
      </c>
      <c r="B134" s="3" t="s">
        <v>55</v>
      </c>
      <c r="C134" s="3" t="s">
        <v>218</v>
      </c>
      <c r="D134" s="4">
        <v>0</v>
      </c>
      <c r="E134" s="4">
        <v>1607</v>
      </c>
      <c r="F134" s="4">
        <v>-1607</v>
      </c>
      <c r="G134" s="3" t="s">
        <v>84</v>
      </c>
    </row>
    <row r="135" spans="1:7" ht="32" customHeight="1">
      <c r="A135" s="3" t="s">
        <v>219</v>
      </c>
      <c r="B135" s="3" t="s">
        <v>35</v>
      </c>
      <c r="C135" s="3" t="s">
        <v>220</v>
      </c>
      <c r="D135" s="4">
        <v>5549</v>
      </c>
      <c r="E135" s="4">
        <v>0</v>
      </c>
      <c r="F135" s="4">
        <v>5549</v>
      </c>
      <c r="G135" s="3" t="s">
        <v>84</v>
      </c>
    </row>
    <row r="136" spans="1:7" ht="32" customHeight="1">
      <c r="A136" s="3" t="s">
        <v>219</v>
      </c>
      <c r="B136" s="3" t="s">
        <v>211</v>
      </c>
      <c r="C136" s="3" t="s">
        <v>220</v>
      </c>
      <c r="D136" s="4">
        <v>0</v>
      </c>
      <c r="E136" s="4">
        <v>5549</v>
      </c>
      <c r="F136" s="4">
        <v>-5549</v>
      </c>
      <c r="G136" s="3" t="s">
        <v>84</v>
      </c>
    </row>
    <row r="137" spans="1:7" ht="32" customHeight="1">
      <c r="A137" s="3" t="s">
        <v>221</v>
      </c>
      <c r="B137" s="3" t="s">
        <v>213</v>
      </c>
      <c r="C137" s="3" t="s">
        <v>222</v>
      </c>
      <c r="D137" s="4">
        <v>3790</v>
      </c>
      <c r="E137" s="4">
        <v>0</v>
      </c>
      <c r="F137" s="4">
        <v>3790</v>
      </c>
      <c r="G137" s="3" t="s">
        <v>84</v>
      </c>
    </row>
    <row r="138" spans="1:7" ht="32" customHeight="1">
      <c r="A138" s="3" t="s">
        <v>221</v>
      </c>
      <c r="B138" s="3" t="s">
        <v>55</v>
      </c>
      <c r="C138" s="3" t="s">
        <v>222</v>
      </c>
      <c r="D138" s="4">
        <v>0</v>
      </c>
      <c r="E138" s="4">
        <v>3790</v>
      </c>
      <c r="F138" s="4">
        <v>-3790</v>
      </c>
      <c r="G138" s="3" t="s">
        <v>84</v>
      </c>
    </row>
    <row r="139" spans="1:7" ht="32" customHeight="1">
      <c r="A139" s="3" t="s">
        <v>223</v>
      </c>
      <c r="B139" s="3" t="s">
        <v>35</v>
      </c>
      <c r="C139" s="3" t="s">
        <v>224</v>
      </c>
      <c r="D139" s="4">
        <v>4335</v>
      </c>
      <c r="E139" s="4">
        <v>0</v>
      </c>
      <c r="F139" s="4">
        <v>4335</v>
      </c>
      <c r="G139" s="3" t="s">
        <v>84</v>
      </c>
    </row>
    <row r="140" spans="1:7" ht="32" customHeight="1">
      <c r="A140" s="3" t="s">
        <v>223</v>
      </c>
      <c r="B140" s="3" t="s">
        <v>211</v>
      </c>
      <c r="C140" s="3" t="s">
        <v>224</v>
      </c>
      <c r="D140" s="4">
        <v>0</v>
      </c>
      <c r="E140" s="4">
        <v>4335</v>
      </c>
      <c r="F140" s="4">
        <v>-4335</v>
      </c>
      <c r="G140" s="3" t="s">
        <v>84</v>
      </c>
    </row>
    <row r="141" spans="1:7" ht="32" customHeight="1">
      <c r="A141" s="3" t="s">
        <v>225</v>
      </c>
      <c r="B141" s="3" t="s">
        <v>213</v>
      </c>
      <c r="C141" s="3" t="s">
        <v>226</v>
      </c>
      <c r="D141" s="4">
        <v>1854</v>
      </c>
      <c r="E141" s="4">
        <v>0</v>
      </c>
      <c r="F141" s="4">
        <v>1854</v>
      </c>
      <c r="G141" s="3" t="s">
        <v>84</v>
      </c>
    </row>
    <row r="142" spans="1:7" ht="32" customHeight="1">
      <c r="A142" s="3" t="s">
        <v>225</v>
      </c>
      <c r="B142" s="3" t="s">
        <v>55</v>
      </c>
      <c r="C142" s="3" t="s">
        <v>226</v>
      </c>
      <c r="D142" s="4">
        <v>0</v>
      </c>
      <c r="E142" s="4">
        <v>1854</v>
      </c>
      <c r="F142" s="4">
        <v>-1854</v>
      </c>
      <c r="G142" s="3" t="s">
        <v>84</v>
      </c>
    </row>
    <row r="143" spans="1:7" ht="32" customHeight="1">
      <c r="A143" s="3" t="s">
        <v>227</v>
      </c>
      <c r="B143" s="3" t="s">
        <v>35</v>
      </c>
      <c r="C143" s="3" t="s">
        <v>228</v>
      </c>
      <c r="D143" s="4">
        <v>2040</v>
      </c>
      <c r="E143" s="4">
        <v>0</v>
      </c>
      <c r="F143" s="4">
        <v>2040</v>
      </c>
      <c r="G143" s="3" t="s">
        <v>84</v>
      </c>
    </row>
    <row r="144" spans="1:7" ht="32" customHeight="1">
      <c r="A144" s="3" t="s">
        <v>227</v>
      </c>
      <c r="B144" s="3" t="s">
        <v>211</v>
      </c>
      <c r="C144" s="3" t="s">
        <v>228</v>
      </c>
      <c r="D144" s="4">
        <v>0</v>
      </c>
      <c r="E144" s="4">
        <v>2040</v>
      </c>
      <c r="F144" s="4">
        <v>-2040</v>
      </c>
      <c r="G144" s="3" t="s">
        <v>84</v>
      </c>
    </row>
    <row r="145" spans="1:7" ht="32" customHeight="1">
      <c r="A145" s="3" t="s">
        <v>229</v>
      </c>
      <c r="B145" s="3" t="s">
        <v>213</v>
      </c>
      <c r="C145" s="3" t="s">
        <v>230</v>
      </c>
      <c r="D145" s="4">
        <v>1185</v>
      </c>
      <c r="E145" s="4">
        <v>0</v>
      </c>
      <c r="F145" s="4">
        <v>1185</v>
      </c>
      <c r="G145" s="3" t="s">
        <v>84</v>
      </c>
    </row>
    <row r="146" spans="1:7" ht="32" customHeight="1">
      <c r="A146" s="3" t="s">
        <v>229</v>
      </c>
      <c r="B146" s="3" t="s">
        <v>55</v>
      </c>
      <c r="C146" s="3" t="s">
        <v>230</v>
      </c>
      <c r="D146" s="4">
        <v>0</v>
      </c>
      <c r="E146" s="4">
        <v>1185</v>
      </c>
      <c r="F146" s="4">
        <v>-1185</v>
      </c>
      <c r="G146" s="3" t="s">
        <v>84</v>
      </c>
    </row>
    <row r="147" spans="1:7" ht="32" customHeight="1">
      <c r="A147" s="3" t="s">
        <v>231</v>
      </c>
      <c r="B147" s="3" t="s">
        <v>35</v>
      </c>
      <c r="C147" s="3" t="s">
        <v>232</v>
      </c>
      <c r="D147" s="4">
        <v>5814</v>
      </c>
      <c r="E147" s="4">
        <v>0</v>
      </c>
      <c r="F147" s="4">
        <v>5814</v>
      </c>
      <c r="G147" s="3" t="s">
        <v>84</v>
      </c>
    </row>
    <row r="148" spans="1:7" ht="32" customHeight="1">
      <c r="A148" s="3" t="s">
        <v>231</v>
      </c>
      <c r="B148" s="3" t="s">
        <v>211</v>
      </c>
      <c r="C148" s="3" t="s">
        <v>232</v>
      </c>
      <c r="D148" s="4">
        <v>0</v>
      </c>
      <c r="E148" s="4">
        <v>5814</v>
      </c>
      <c r="F148" s="4">
        <v>-5814</v>
      </c>
      <c r="G148" s="3" t="s">
        <v>84</v>
      </c>
    </row>
    <row r="149" spans="1:7" ht="32" customHeight="1">
      <c r="A149" s="3" t="s">
        <v>233</v>
      </c>
      <c r="B149" s="3" t="s">
        <v>213</v>
      </c>
      <c r="C149" s="3" t="s">
        <v>234</v>
      </c>
      <c r="D149" s="4">
        <v>3914</v>
      </c>
      <c r="E149" s="4">
        <v>0</v>
      </c>
      <c r="F149" s="4">
        <v>3914</v>
      </c>
      <c r="G149" s="3" t="s">
        <v>84</v>
      </c>
    </row>
    <row r="150" spans="1:7" ht="32" customHeight="1">
      <c r="A150" s="3" t="s">
        <v>233</v>
      </c>
      <c r="B150" s="3" t="s">
        <v>55</v>
      </c>
      <c r="C150" s="3" t="s">
        <v>234</v>
      </c>
      <c r="D150" s="4">
        <v>0</v>
      </c>
      <c r="E150" s="4">
        <v>3914</v>
      </c>
      <c r="F150" s="4">
        <v>-3914</v>
      </c>
      <c r="G150" s="3" t="s">
        <v>84</v>
      </c>
    </row>
    <row r="151" spans="1:7" ht="32" customHeight="1">
      <c r="A151" s="3" t="s">
        <v>235</v>
      </c>
      <c r="B151" s="3" t="s">
        <v>35</v>
      </c>
      <c r="C151" s="3" t="s">
        <v>236</v>
      </c>
      <c r="D151" s="4">
        <v>867</v>
      </c>
      <c r="E151" s="4">
        <v>0</v>
      </c>
      <c r="F151" s="4">
        <v>867</v>
      </c>
      <c r="G151" s="3" t="s">
        <v>84</v>
      </c>
    </row>
    <row r="152" spans="1:7" ht="32" customHeight="1">
      <c r="A152" s="3" t="s">
        <v>235</v>
      </c>
      <c r="B152" s="3" t="s">
        <v>211</v>
      </c>
      <c r="C152" s="3" t="s">
        <v>236</v>
      </c>
      <c r="D152" s="4">
        <v>0</v>
      </c>
      <c r="E152" s="4">
        <v>867</v>
      </c>
      <c r="F152" s="4">
        <v>-867</v>
      </c>
      <c r="G152" s="3" t="s">
        <v>84</v>
      </c>
    </row>
    <row r="153" spans="1:7" ht="32" customHeight="1">
      <c r="A153" s="3" t="s">
        <v>237</v>
      </c>
      <c r="B153" s="3" t="s">
        <v>213</v>
      </c>
      <c r="C153" s="3" t="s">
        <v>238</v>
      </c>
      <c r="D153" s="4">
        <v>371</v>
      </c>
      <c r="E153" s="4">
        <v>0</v>
      </c>
      <c r="F153" s="4">
        <v>371</v>
      </c>
      <c r="G153" s="3" t="s">
        <v>84</v>
      </c>
    </row>
    <row r="154" spans="1:7" ht="32" customHeight="1">
      <c r="A154" s="3" t="s">
        <v>237</v>
      </c>
      <c r="B154" s="3" t="s">
        <v>55</v>
      </c>
      <c r="C154" s="3" t="s">
        <v>238</v>
      </c>
      <c r="D154" s="4">
        <v>0</v>
      </c>
      <c r="E154" s="4">
        <v>371</v>
      </c>
      <c r="F154" s="4">
        <v>-371</v>
      </c>
      <c r="G154" s="3" t="s">
        <v>84</v>
      </c>
    </row>
    <row r="155" spans="1:7" ht="32" customHeight="1">
      <c r="A155" s="3" t="s">
        <v>239</v>
      </c>
      <c r="B155" s="3" t="s">
        <v>35</v>
      </c>
      <c r="C155" s="3" t="s">
        <v>240</v>
      </c>
      <c r="D155" s="4">
        <v>459</v>
      </c>
      <c r="E155" s="4">
        <v>0</v>
      </c>
      <c r="F155" s="4">
        <v>459</v>
      </c>
      <c r="G155" s="3" t="s">
        <v>84</v>
      </c>
    </row>
    <row r="156" spans="1:7" ht="32" customHeight="1">
      <c r="A156" s="3" t="s">
        <v>239</v>
      </c>
      <c r="B156" s="3" t="s">
        <v>211</v>
      </c>
      <c r="C156" s="3" t="s">
        <v>240</v>
      </c>
      <c r="D156" s="4">
        <v>0</v>
      </c>
      <c r="E156" s="4">
        <v>459</v>
      </c>
      <c r="F156" s="4">
        <v>-459</v>
      </c>
      <c r="G156" s="3" t="s">
        <v>84</v>
      </c>
    </row>
    <row r="157" spans="1:7" ht="32" customHeight="1">
      <c r="A157" s="3" t="s">
        <v>241</v>
      </c>
      <c r="B157" s="3" t="s">
        <v>213</v>
      </c>
      <c r="C157" s="3" t="s">
        <v>242</v>
      </c>
      <c r="D157" s="4">
        <v>258</v>
      </c>
      <c r="E157" s="4">
        <v>0</v>
      </c>
      <c r="F157" s="4">
        <v>258</v>
      </c>
      <c r="G157" s="3" t="s">
        <v>84</v>
      </c>
    </row>
    <row r="158" spans="1:7" ht="32" customHeight="1">
      <c r="A158" s="3" t="s">
        <v>241</v>
      </c>
      <c r="B158" s="3" t="s">
        <v>55</v>
      </c>
      <c r="C158" s="3" t="s">
        <v>242</v>
      </c>
      <c r="D158" s="4">
        <v>0</v>
      </c>
      <c r="E158" s="4">
        <v>258</v>
      </c>
      <c r="F158" s="4">
        <v>-258</v>
      </c>
      <c r="G158" s="3" t="s">
        <v>84</v>
      </c>
    </row>
    <row r="159" spans="1:7" ht="32" customHeight="1">
      <c r="A159" s="3" t="s">
        <v>243</v>
      </c>
      <c r="B159" s="3" t="s">
        <v>35</v>
      </c>
      <c r="C159" s="3" t="s">
        <v>244</v>
      </c>
      <c r="D159" s="4">
        <v>1224</v>
      </c>
      <c r="E159" s="4">
        <v>0</v>
      </c>
      <c r="F159" s="4">
        <v>1224</v>
      </c>
      <c r="G159" s="3" t="s">
        <v>84</v>
      </c>
    </row>
    <row r="160" spans="1:7" ht="32" customHeight="1">
      <c r="A160" s="3" t="s">
        <v>243</v>
      </c>
      <c r="B160" s="3" t="s">
        <v>211</v>
      </c>
      <c r="C160" s="3" t="s">
        <v>244</v>
      </c>
      <c r="D160" s="4">
        <v>0</v>
      </c>
      <c r="E160" s="4">
        <v>1224</v>
      </c>
      <c r="F160" s="4">
        <v>-1224</v>
      </c>
      <c r="G160" s="3" t="s">
        <v>84</v>
      </c>
    </row>
    <row r="161" spans="1:7" ht="32" customHeight="1">
      <c r="A161" s="3" t="s">
        <v>245</v>
      </c>
      <c r="B161" s="3" t="s">
        <v>213</v>
      </c>
      <c r="C161" s="3" t="s">
        <v>246</v>
      </c>
      <c r="D161" s="4">
        <v>824</v>
      </c>
      <c r="E161" s="4">
        <v>0</v>
      </c>
      <c r="F161" s="4">
        <v>824</v>
      </c>
      <c r="G161" s="3" t="s">
        <v>84</v>
      </c>
    </row>
    <row r="162" spans="1:7" ht="32" customHeight="1">
      <c r="A162" s="3" t="s">
        <v>245</v>
      </c>
      <c r="B162" s="3" t="s">
        <v>55</v>
      </c>
      <c r="C162" s="3" t="s">
        <v>246</v>
      </c>
      <c r="D162" s="4">
        <v>0</v>
      </c>
      <c r="E162" s="4">
        <v>824</v>
      </c>
      <c r="F162" s="4">
        <v>-824</v>
      </c>
      <c r="G162" s="3" t="s">
        <v>84</v>
      </c>
    </row>
    <row r="163" spans="1:7" ht="32" customHeight="1">
      <c r="A163" s="3" t="s">
        <v>247</v>
      </c>
      <c r="B163" s="3" t="s">
        <v>35</v>
      </c>
      <c r="C163" s="3" t="s">
        <v>248</v>
      </c>
      <c r="D163" s="4">
        <v>1938</v>
      </c>
      <c r="E163" s="4">
        <v>0</v>
      </c>
      <c r="F163" s="4">
        <v>1938</v>
      </c>
      <c r="G163" s="3" t="s">
        <v>84</v>
      </c>
    </row>
    <row r="164" spans="1:7" ht="32" customHeight="1">
      <c r="A164" s="3" t="s">
        <v>247</v>
      </c>
      <c r="B164" s="3" t="s">
        <v>211</v>
      </c>
      <c r="C164" s="3" t="s">
        <v>248</v>
      </c>
      <c r="D164" s="4">
        <v>0</v>
      </c>
      <c r="E164" s="4">
        <v>1938</v>
      </c>
      <c r="F164" s="4">
        <v>-1938</v>
      </c>
      <c r="G164" s="3" t="s">
        <v>84</v>
      </c>
    </row>
    <row r="165" spans="1:7" ht="32" customHeight="1">
      <c r="A165" s="3" t="s">
        <v>249</v>
      </c>
      <c r="B165" s="3" t="s">
        <v>213</v>
      </c>
      <c r="C165" s="3" t="s">
        <v>250</v>
      </c>
      <c r="D165" s="4">
        <v>886</v>
      </c>
      <c r="E165" s="4">
        <v>0</v>
      </c>
      <c r="F165" s="4">
        <v>886</v>
      </c>
      <c r="G165" s="3" t="s">
        <v>84</v>
      </c>
    </row>
    <row r="166" spans="1:7" ht="32" customHeight="1">
      <c r="A166" s="3" t="s">
        <v>249</v>
      </c>
      <c r="B166" s="3" t="s">
        <v>55</v>
      </c>
      <c r="C166" s="3" t="s">
        <v>250</v>
      </c>
      <c r="D166" s="4">
        <v>0</v>
      </c>
      <c r="E166" s="4">
        <v>886</v>
      </c>
      <c r="F166" s="4">
        <v>-886</v>
      </c>
      <c r="G166" s="3" t="s">
        <v>84</v>
      </c>
    </row>
    <row r="167" spans="1:7" ht="32" customHeight="1">
      <c r="A167" s="3" t="s">
        <v>251</v>
      </c>
      <c r="B167" s="3" t="s">
        <v>35</v>
      </c>
      <c r="C167" s="3" t="s">
        <v>252</v>
      </c>
      <c r="D167" s="4">
        <v>1326</v>
      </c>
      <c r="E167" s="4">
        <v>0</v>
      </c>
      <c r="F167" s="4">
        <v>1326</v>
      </c>
      <c r="G167" s="3" t="s">
        <v>84</v>
      </c>
    </row>
    <row r="168" spans="1:7" ht="32" customHeight="1">
      <c r="A168" s="3" t="s">
        <v>251</v>
      </c>
      <c r="B168" s="3" t="s">
        <v>211</v>
      </c>
      <c r="C168" s="3" t="s">
        <v>252</v>
      </c>
      <c r="D168" s="4">
        <v>0</v>
      </c>
      <c r="E168" s="4">
        <v>1326</v>
      </c>
      <c r="F168" s="4">
        <v>-1326</v>
      </c>
      <c r="G168" s="3" t="s">
        <v>84</v>
      </c>
    </row>
    <row r="169" spans="1:7" ht="32" customHeight="1">
      <c r="A169" s="3" t="s">
        <v>253</v>
      </c>
      <c r="B169" s="3" t="s">
        <v>213</v>
      </c>
      <c r="C169" s="3" t="s">
        <v>254</v>
      </c>
      <c r="D169" s="4">
        <v>762</v>
      </c>
      <c r="E169" s="4">
        <v>0</v>
      </c>
      <c r="F169" s="4">
        <v>762</v>
      </c>
      <c r="G169" s="3" t="s">
        <v>84</v>
      </c>
    </row>
    <row r="170" spans="1:7" ht="32" customHeight="1">
      <c r="A170" s="3" t="s">
        <v>253</v>
      </c>
      <c r="B170" s="3" t="s">
        <v>55</v>
      </c>
      <c r="C170" s="3" t="s">
        <v>254</v>
      </c>
      <c r="D170" s="4">
        <v>0</v>
      </c>
      <c r="E170" s="4">
        <v>762</v>
      </c>
      <c r="F170" s="4">
        <v>-762</v>
      </c>
      <c r="G170" s="3" t="s">
        <v>84</v>
      </c>
    </row>
    <row r="171" spans="1:7" ht="32" customHeight="1">
      <c r="A171" s="3" t="s">
        <v>255</v>
      </c>
      <c r="B171" s="3" t="s">
        <v>35</v>
      </c>
      <c r="C171" s="3" t="s">
        <v>256</v>
      </c>
      <c r="D171" s="4">
        <v>2295</v>
      </c>
      <c r="E171" s="4">
        <v>0</v>
      </c>
      <c r="F171" s="4">
        <v>2295</v>
      </c>
      <c r="G171" s="3" t="s">
        <v>84</v>
      </c>
    </row>
    <row r="172" spans="1:7" ht="32" customHeight="1">
      <c r="A172" s="3" t="s">
        <v>255</v>
      </c>
      <c r="B172" s="3" t="s">
        <v>211</v>
      </c>
      <c r="C172" s="3" t="s">
        <v>256</v>
      </c>
      <c r="D172" s="4">
        <v>0</v>
      </c>
      <c r="E172" s="4">
        <v>2295</v>
      </c>
      <c r="F172" s="4">
        <v>-2295</v>
      </c>
      <c r="G172" s="3" t="s">
        <v>84</v>
      </c>
    </row>
    <row r="173" spans="1:7" ht="32" customHeight="1">
      <c r="A173" s="3" t="s">
        <v>257</v>
      </c>
      <c r="B173" s="3" t="s">
        <v>213</v>
      </c>
      <c r="C173" s="3" t="s">
        <v>258</v>
      </c>
      <c r="D173" s="4">
        <v>1545</v>
      </c>
      <c r="E173" s="4">
        <v>0</v>
      </c>
      <c r="F173" s="4">
        <v>1545</v>
      </c>
      <c r="G173" s="3" t="s">
        <v>84</v>
      </c>
    </row>
    <row r="174" spans="1:7" ht="32" customHeight="1">
      <c r="A174" s="3" t="s">
        <v>257</v>
      </c>
      <c r="B174" s="3" t="s">
        <v>55</v>
      </c>
      <c r="C174" s="3" t="s">
        <v>258</v>
      </c>
      <c r="D174" s="4">
        <v>0</v>
      </c>
      <c r="E174" s="4">
        <v>1545</v>
      </c>
      <c r="F174" s="4">
        <v>-1545</v>
      </c>
      <c r="G174" s="3" t="s">
        <v>84</v>
      </c>
    </row>
    <row r="175" spans="1:7" ht="32" customHeight="1">
      <c r="A175" s="3" t="s">
        <v>259</v>
      </c>
      <c r="B175" s="3" t="s">
        <v>35</v>
      </c>
      <c r="C175" s="3" t="s">
        <v>260</v>
      </c>
      <c r="D175" s="4">
        <v>765</v>
      </c>
      <c r="E175" s="4">
        <v>0</v>
      </c>
      <c r="F175" s="4">
        <v>765</v>
      </c>
      <c r="G175" s="3" t="s">
        <v>84</v>
      </c>
    </row>
    <row r="176" spans="1:7" ht="32" customHeight="1">
      <c r="A176" s="3" t="s">
        <v>259</v>
      </c>
      <c r="B176" s="3" t="s">
        <v>211</v>
      </c>
      <c r="C176" s="3" t="s">
        <v>260</v>
      </c>
      <c r="D176" s="4">
        <v>0</v>
      </c>
      <c r="E176" s="4">
        <v>765</v>
      </c>
      <c r="F176" s="4">
        <v>-765</v>
      </c>
      <c r="G176" s="3" t="s">
        <v>84</v>
      </c>
    </row>
    <row r="177" spans="1:7" ht="32" customHeight="1">
      <c r="A177" s="3" t="s">
        <v>261</v>
      </c>
      <c r="B177" s="3" t="s">
        <v>213</v>
      </c>
      <c r="C177" s="3" t="s">
        <v>262</v>
      </c>
      <c r="D177" s="4">
        <v>309</v>
      </c>
      <c r="E177" s="4">
        <v>0</v>
      </c>
      <c r="F177" s="4">
        <v>309</v>
      </c>
      <c r="G177" s="3" t="s">
        <v>84</v>
      </c>
    </row>
    <row r="178" spans="1:7" ht="32" customHeight="1">
      <c r="A178" s="3" t="s">
        <v>261</v>
      </c>
      <c r="B178" s="3" t="s">
        <v>55</v>
      </c>
      <c r="C178" s="3" t="s">
        <v>262</v>
      </c>
      <c r="D178" s="4">
        <v>0</v>
      </c>
      <c r="E178" s="4">
        <v>309</v>
      </c>
      <c r="F178" s="4">
        <v>-309</v>
      </c>
      <c r="G178" s="3" t="s">
        <v>84</v>
      </c>
    </row>
    <row r="179" spans="1:7" ht="32" customHeight="1">
      <c r="A179" s="3" t="s">
        <v>263</v>
      </c>
      <c r="B179" s="3" t="s">
        <v>35</v>
      </c>
      <c r="C179" s="3" t="s">
        <v>264</v>
      </c>
      <c r="D179" s="4">
        <v>510</v>
      </c>
      <c r="E179" s="4">
        <v>0</v>
      </c>
      <c r="F179" s="4">
        <v>510</v>
      </c>
      <c r="G179" s="3" t="s">
        <v>84</v>
      </c>
    </row>
    <row r="180" spans="1:7" ht="32" customHeight="1">
      <c r="A180" s="3" t="s">
        <v>263</v>
      </c>
      <c r="B180" s="3" t="s">
        <v>211</v>
      </c>
      <c r="C180" s="3" t="s">
        <v>264</v>
      </c>
      <c r="D180" s="4">
        <v>0</v>
      </c>
      <c r="E180" s="4">
        <v>510</v>
      </c>
      <c r="F180" s="4">
        <v>-510</v>
      </c>
      <c r="G180" s="3" t="s">
        <v>84</v>
      </c>
    </row>
    <row r="181" spans="1:7" ht="32" customHeight="1">
      <c r="A181" s="3" t="s">
        <v>265</v>
      </c>
      <c r="B181" s="3" t="s">
        <v>213</v>
      </c>
      <c r="C181" s="3" t="s">
        <v>266</v>
      </c>
      <c r="D181" s="4">
        <v>299</v>
      </c>
      <c r="E181" s="4">
        <v>0</v>
      </c>
      <c r="F181" s="4">
        <v>299</v>
      </c>
      <c r="G181" s="3" t="s">
        <v>84</v>
      </c>
    </row>
    <row r="182" spans="1:7" ht="32" customHeight="1">
      <c r="A182" s="3" t="s">
        <v>265</v>
      </c>
      <c r="B182" s="3" t="s">
        <v>55</v>
      </c>
      <c r="C182" s="3" t="s">
        <v>266</v>
      </c>
      <c r="D182" s="4">
        <v>0</v>
      </c>
      <c r="E182" s="4">
        <v>299</v>
      </c>
      <c r="F182" s="4">
        <v>-299</v>
      </c>
      <c r="G182" s="3" t="s">
        <v>84</v>
      </c>
    </row>
    <row r="183" spans="1:7" ht="32" customHeight="1">
      <c r="A183" s="3" t="s">
        <v>267</v>
      </c>
      <c r="B183" s="3" t="s">
        <v>35</v>
      </c>
      <c r="C183" s="3" t="s">
        <v>268</v>
      </c>
      <c r="D183" s="4">
        <v>663</v>
      </c>
      <c r="E183" s="4">
        <v>0</v>
      </c>
      <c r="F183" s="4">
        <v>663</v>
      </c>
      <c r="G183" s="3" t="s">
        <v>84</v>
      </c>
    </row>
    <row r="184" spans="1:7" ht="32" customHeight="1">
      <c r="A184" s="3" t="s">
        <v>267</v>
      </c>
      <c r="B184" s="3" t="s">
        <v>211</v>
      </c>
      <c r="C184" s="3" t="s">
        <v>268</v>
      </c>
      <c r="D184" s="4">
        <v>0</v>
      </c>
      <c r="E184" s="4">
        <v>663</v>
      </c>
      <c r="F184" s="4">
        <v>-663</v>
      </c>
      <c r="G184" s="3" t="s">
        <v>84</v>
      </c>
    </row>
    <row r="185" spans="1:7" ht="32" customHeight="1">
      <c r="A185" s="3" t="s">
        <v>269</v>
      </c>
      <c r="B185" s="3" t="s">
        <v>213</v>
      </c>
      <c r="C185" s="3" t="s">
        <v>270</v>
      </c>
      <c r="D185" s="4">
        <v>453</v>
      </c>
      <c r="E185" s="4">
        <v>0</v>
      </c>
      <c r="F185" s="4">
        <v>453</v>
      </c>
      <c r="G185" s="3" t="s">
        <v>84</v>
      </c>
    </row>
    <row r="186" spans="1:7" ht="32" customHeight="1">
      <c r="A186" s="3" t="s">
        <v>269</v>
      </c>
      <c r="B186" s="3" t="s">
        <v>55</v>
      </c>
      <c r="C186" s="3" t="s">
        <v>270</v>
      </c>
      <c r="D186" s="4">
        <v>0</v>
      </c>
      <c r="E186" s="4">
        <v>453</v>
      </c>
      <c r="F186" s="4">
        <v>-453</v>
      </c>
      <c r="G186" s="3" t="s">
        <v>84</v>
      </c>
    </row>
    <row r="187" spans="1:7" ht="32" customHeight="1">
      <c r="A187" s="3" t="s">
        <v>271</v>
      </c>
      <c r="B187" s="3" t="s">
        <v>213</v>
      </c>
      <c r="C187" s="3" t="s">
        <v>272</v>
      </c>
      <c r="D187" s="4">
        <v>1030</v>
      </c>
      <c r="E187" s="4">
        <v>0</v>
      </c>
      <c r="F187" s="4">
        <v>1030</v>
      </c>
      <c r="G187" s="3" t="s">
        <v>84</v>
      </c>
    </row>
    <row r="188" spans="1:7" ht="32" customHeight="1">
      <c r="A188" s="3" t="s">
        <v>271</v>
      </c>
      <c r="B188" s="3" t="s">
        <v>55</v>
      </c>
      <c r="C188" s="3" t="s">
        <v>272</v>
      </c>
      <c r="D188" s="4">
        <v>0</v>
      </c>
      <c r="E188" s="4">
        <v>1030</v>
      </c>
      <c r="F188" s="4">
        <v>-1030</v>
      </c>
      <c r="G188" s="3" t="s">
        <v>84</v>
      </c>
    </row>
    <row r="189" spans="1:7" ht="32" customHeight="1">
      <c r="A189" s="3" t="s">
        <v>273</v>
      </c>
      <c r="B189" s="3" t="s">
        <v>213</v>
      </c>
      <c r="C189" s="3" t="s">
        <v>274</v>
      </c>
      <c r="D189" s="4">
        <v>2060</v>
      </c>
      <c r="E189" s="4">
        <v>0</v>
      </c>
      <c r="F189" s="4">
        <v>2060</v>
      </c>
      <c r="G189" s="3" t="s">
        <v>84</v>
      </c>
    </row>
    <row r="190" spans="1:7" ht="32" customHeight="1">
      <c r="A190" s="3" t="s">
        <v>273</v>
      </c>
      <c r="B190" s="3" t="s">
        <v>55</v>
      </c>
      <c r="C190" s="3" t="s">
        <v>274</v>
      </c>
      <c r="D190" s="4">
        <v>0</v>
      </c>
      <c r="E190" s="4">
        <v>2060</v>
      </c>
      <c r="F190" s="4">
        <v>-2060</v>
      </c>
      <c r="G190" s="3" t="s">
        <v>84</v>
      </c>
    </row>
    <row r="191" spans="1:7" ht="32" customHeight="1">
      <c r="A191" s="3" t="s">
        <v>275</v>
      </c>
      <c r="B191" s="3" t="s">
        <v>213</v>
      </c>
      <c r="C191" s="3" t="s">
        <v>276</v>
      </c>
      <c r="D191" s="4">
        <v>1030</v>
      </c>
      <c r="E191" s="4">
        <v>0</v>
      </c>
      <c r="F191" s="4">
        <v>1030</v>
      </c>
      <c r="G191" s="3" t="s">
        <v>84</v>
      </c>
    </row>
    <row r="192" spans="1:7" ht="32" customHeight="1">
      <c r="A192" s="3" t="s">
        <v>275</v>
      </c>
      <c r="B192" s="3" t="s">
        <v>55</v>
      </c>
      <c r="C192" s="3" t="s">
        <v>276</v>
      </c>
      <c r="D192" s="4">
        <v>0</v>
      </c>
      <c r="E192" s="4">
        <v>1030</v>
      </c>
      <c r="F192" s="4">
        <v>-1030</v>
      </c>
      <c r="G192" s="3" t="s">
        <v>84</v>
      </c>
    </row>
    <row r="193" spans="1:7" ht="32" customHeight="1">
      <c r="A193" s="3" t="s">
        <v>277</v>
      </c>
      <c r="B193" s="3" t="s">
        <v>278</v>
      </c>
      <c r="C193" s="3" t="s">
        <v>279</v>
      </c>
      <c r="D193" s="4">
        <v>41667</v>
      </c>
      <c r="E193" s="4">
        <v>0</v>
      </c>
      <c r="F193" s="4">
        <v>41667</v>
      </c>
      <c r="G193" s="3" t="s">
        <v>84</v>
      </c>
    </row>
    <row r="194" spans="1:7" ht="32" customHeight="1">
      <c r="A194" s="3" t="s">
        <v>277</v>
      </c>
      <c r="B194" s="3" t="s">
        <v>43</v>
      </c>
      <c r="C194" s="3" t="s">
        <v>279</v>
      </c>
      <c r="D194" s="4">
        <v>0</v>
      </c>
      <c r="E194" s="4">
        <v>41667</v>
      </c>
      <c r="F194" s="4">
        <v>-41667</v>
      </c>
      <c r="G194" s="3" t="s">
        <v>84</v>
      </c>
    </row>
    <row r="195" spans="1:7" ht="32" customHeight="1">
      <c r="A195" s="3" t="s">
        <v>280</v>
      </c>
      <c r="B195" s="3" t="s">
        <v>278</v>
      </c>
      <c r="C195" s="3" t="s">
        <v>281</v>
      </c>
      <c r="D195" s="4">
        <v>50000</v>
      </c>
      <c r="E195" s="4">
        <v>0</v>
      </c>
      <c r="F195" s="4">
        <v>50000</v>
      </c>
      <c r="G195" s="3" t="s">
        <v>84</v>
      </c>
    </row>
    <row r="196" spans="1:7" ht="32" customHeight="1">
      <c r="A196" s="3" t="s">
        <v>280</v>
      </c>
      <c r="B196" s="3" t="s">
        <v>43</v>
      </c>
      <c r="C196" s="3" t="s">
        <v>281</v>
      </c>
      <c r="D196" s="4">
        <v>0</v>
      </c>
      <c r="E196" s="4">
        <v>50000</v>
      </c>
      <c r="F196" s="4">
        <v>-50000</v>
      </c>
      <c r="G196" s="3" t="s">
        <v>84</v>
      </c>
    </row>
    <row r="197" spans="1:7" ht="32" customHeight="1">
      <c r="A197" s="3" t="s">
        <v>282</v>
      </c>
      <c r="B197" s="3" t="s">
        <v>278</v>
      </c>
      <c r="C197" s="3" t="s">
        <v>283</v>
      </c>
      <c r="D197" s="4">
        <v>83334</v>
      </c>
      <c r="E197" s="4">
        <v>0</v>
      </c>
      <c r="F197" s="4">
        <v>83334</v>
      </c>
      <c r="G197" s="3" t="s">
        <v>84</v>
      </c>
    </row>
    <row r="198" spans="1:7" ht="32" customHeight="1">
      <c r="A198" s="3" t="s">
        <v>282</v>
      </c>
      <c r="B198" s="3" t="s">
        <v>43</v>
      </c>
      <c r="C198" s="3" t="s">
        <v>283</v>
      </c>
      <c r="D198" s="4">
        <v>0</v>
      </c>
      <c r="E198" s="4">
        <v>83334</v>
      </c>
      <c r="F198" s="4">
        <v>-83334</v>
      </c>
      <c r="G198" s="3" t="s">
        <v>84</v>
      </c>
    </row>
    <row r="199" spans="1:7" ht="32" customHeight="1">
      <c r="A199" s="3" t="s">
        <v>284</v>
      </c>
      <c r="B199" s="3" t="s">
        <v>278</v>
      </c>
      <c r="C199" s="3" t="s">
        <v>285</v>
      </c>
      <c r="D199" s="4">
        <v>27500</v>
      </c>
      <c r="E199" s="4">
        <v>0</v>
      </c>
      <c r="F199" s="4">
        <v>27500</v>
      </c>
      <c r="G199" s="3" t="s">
        <v>84</v>
      </c>
    </row>
    <row r="200" spans="1:7" ht="32" customHeight="1">
      <c r="A200" s="3" t="s">
        <v>284</v>
      </c>
      <c r="B200" s="3" t="s">
        <v>43</v>
      </c>
      <c r="C200" s="3" t="s">
        <v>285</v>
      </c>
      <c r="D200" s="4">
        <v>0</v>
      </c>
      <c r="E200" s="4">
        <v>27500</v>
      </c>
      <c r="F200" s="4">
        <v>-27500</v>
      </c>
      <c r="G200" s="3" t="s">
        <v>84</v>
      </c>
    </row>
    <row r="201" spans="1:7" ht="32" customHeight="1">
      <c r="A201" s="3" t="s">
        <v>286</v>
      </c>
      <c r="B201" s="3" t="s">
        <v>278</v>
      </c>
      <c r="C201" s="3" t="s">
        <v>287</v>
      </c>
      <c r="D201" s="4">
        <v>61112</v>
      </c>
      <c r="E201" s="4">
        <v>0</v>
      </c>
      <c r="F201" s="4">
        <v>61112</v>
      </c>
      <c r="G201" s="3" t="s">
        <v>84</v>
      </c>
    </row>
    <row r="202" spans="1:7" ht="32" customHeight="1">
      <c r="A202" s="3" t="s">
        <v>286</v>
      </c>
      <c r="B202" s="3" t="s">
        <v>43</v>
      </c>
      <c r="C202" s="3" t="s">
        <v>287</v>
      </c>
      <c r="D202" s="4">
        <v>0</v>
      </c>
      <c r="E202" s="4">
        <v>61112</v>
      </c>
      <c r="F202" s="4">
        <v>-61112</v>
      </c>
      <c r="G202" s="3" t="s">
        <v>84</v>
      </c>
    </row>
    <row r="203" spans="1:7" ht="32" customHeight="1">
      <c r="A203" s="3" t="s">
        <v>288</v>
      </c>
      <c r="B203" s="3" t="s">
        <v>278</v>
      </c>
      <c r="C203" s="3" t="s">
        <v>289</v>
      </c>
      <c r="D203" s="4">
        <v>21875</v>
      </c>
      <c r="E203" s="4">
        <v>0</v>
      </c>
      <c r="F203" s="4">
        <v>21875</v>
      </c>
      <c r="G203" s="3" t="s">
        <v>84</v>
      </c>
    </row>
    <row r="204" spans="1:7" ht="32" customHeight="1">
      <c r="A204" s="3" t="s">
        <v>288</v>
      </c>
      <c r="B204" s="3" t="s">
        <v>43</v>
      </c>
      <c r="C204" s="3" t="s">
        <v>289</v>
      </c>
      <c r="D204" s="4">
        <v>0</v>
      </c>
      <c r="E204" s="4">
        <v>21875</v>
      </c>
      <c r="F204" s="4">
        <v>-21875</v>
      </c>
      <c r="G204" s="3" t="s">
        <v>84</v>
      </c>
    </row>
    <row r="205" spans="1:7" ht="32" customHeight="1">
      <c r="A205" s="3" t="s">
        <v>290</v>
      </c>
      <c r="B205" s="3" t="s">
        <v>278</v>
      </c>
      <c r="C205" s="3" t="s">
        <v>291</v>
      </c>
      <c r="D205" s="4">
        <v>41667</v>
      </c>
      <c r="E205" s="4">
        <v>0</v>
      </c>
      <c r="F205" s="4">
        <v>41667</v>
      </c>
      <c r="G205" s="3" t="s">
        <v>84</v>
      </c>
    </row>
    <row r="206" spans="1:7" ht="32" customHeight="1">
      <c r="A206" s="3" t="s">
        <v>290</v>
      </c>
      <c r="B206" s="3" t="s">
        <v>47</v>
      </c>
      <c r="C206" s="3" t="s">
        <v>291</v>
      </c>
      <c r="D206" s="4">
        <v>0</v>
      </c>
      <c r="E206" s="4">
        <v>41667</v>
      </c>
      <c r="F206" s="4">
        <v>-41667</v>
      </c>
      <c r="G206" s="3" t="s">
        <v>84</v>
      </c>
    </row>
    <row r="207" spans="1:7" ht="32" customHeight="1">
      <c r="A207" s="3" t="s">
        <v>292</v>
      </c>
      <c r="B207" s="3" t="s">
        <v>293</v>
      </c>
      <c r="C207" s="3" t="s">
        <v>294</v>
      </c>
      <c r="D207" s="4">
        <v>132130</v>
      </c>
      <c r="E207" s="4">
        <v>0</v>
      </c>
      <c r="F207" s="4">
        <v>132130</v>
      </c>
      <c r="G207" s="3" t="s">
        <v>84</v>
      </c>
    </row>
    <row r="208" spans="1:7" ht="32" customHeight="1">
      <c r="A208" s="3" t="s">
        <v>292</v>
      </c>
      <c r="B208" s="3" t="s">
        <v>295</v>
      </c>
      <c r="C208" s="3" t="s">
        <v>294</v>
      </c>
      <c r="D208" s="4">
        <v>0</v>
      </c>
      <c r="E208" s="4">
        <v>132130</v>
      </c>
      <c r="F208" s="4">
        <v>-132130</v>
      </c>
      <c r="G208" s="3" t="s">
        <v>84</v>
      </c>
    </row>
    <row r="209" spans="1:7" ht="32" customHeight="1">
      <c r="A209" s="3" t="s">
        <v>296</v>
      </c>
      <c r="B209" s="3" t="s">
        <v>293</v>
      </c>
      <c r="C209" s="3" t="s">
        <v>297</v>
      </c>
      <c r="D209" s="4">
        <v>5000</v>
      </c>
      <c r="E209" s="4">
        <v>0</v>
      </c>
      <c r="F209" s="4">
        <v>5000</v>
      </c>
      <c r="G209" s="3" t="s">
        <v>84</v>
      </c>
    </row>
    <row r="210" spans="1:7" ht="32" customHeight="1">
      <c r="A210" s="3" t="s">
        <v>296</v>
      </c>
      <c r="B210" s="3" t="s">
        <v>51</v>
      </c>
      <c r="C210" s="3" t="s">
        <v>297</v>
      </c>
      <c r="D210" s="4">
        <v>0</v>
      </c>
      <c r="E210" s="4">
        <v>5000</v>
      </c>
      <c r="F210" s="4">
        <v>-5000</v>
      </c>
      <c r="G210" s="3" t="s">
        <v>84</v>
      </c>
    </row>
    <row r="211" spans="1:7" ht="32" customHeight="1">
      <c r="A211" s="3" t="s">
        <v>298</v>
      </c>
      <c r="B211" s="3" t="s">
        <v>33</v>
      </c>
      <c r="C211" s="3" t="s">
        <v>299</v>
      </c>
      <c r="D211" s="4">
        <v>0</v>
      </c>
      <c r="E211" s="4">
        <v>4590000</v>
      </c>
      <c r="F211" s="4">
        <v>-4590000</v>
      </c>
      <c r="G211" s="3" t="s">
        <v>300</v>
      </c>
    </row>
    <row r="212" spans="1:7" ht="32" customHeight="1">
      <c r="A212" s="3" t="s">
        <v>298</v>
      </c>
      <c r="B212" s="3" t="s">
        <v>31</v>
      </c>
      <c r="C212" s="3" t="s">
        <v>299</v>
      </c>
      <c r="D212" s="4">
        <v>4590000</v>
      </c>
      <c r="E212" s="4">
        <v>0</v>
      </c>
      <c r="F212" s="4">
        <v>4590000</v>
      </c>
      <c r="G212" s="3" t="s">
        <v>300</v>
      </c>
    </row>
    <row r="213" spans="1:7" ht="32" customHeight="1">
      <c r="A213" s="3" t="s">
        <v>301</v>
      </c>
      <c r="B213" s="3" t="s">
        <v>302</v>
      </c>
      <c r="C213" s="3" t="s">
        <v>303</v>
      </c>
      <c r="D213" s="4">
        <v>18055</v>
      </c>
      <c r="E213" s="4">
        <v>0</v>
      </c>
      <c r="F213" s="4">
        <v>18055</v>
      </c>
      <c r="G213" s="3" t="s">
        <v>84</v>
      </c>
    </row>
    <row r="214" spans="1:7" ht="32" customHeight="1">
      <c r="A214" s="3" t="s">
        <v>301</v>
      </c>
      <c r="B214" s="3" t="s">
        <v>63</v>
      </c>
      <c r="C214" s="3" t="s">
        <v>303</v>
      </c>
      <c r="D214" s="4">
        <v>0</v>
      </c>
      <c r="E214" s="4">
        <v>18055</v>
      </c>
      <c r="F214" s="4">
        <v>-18055</v>
      </c>
      <c r="G214" s="3" t="s">
        <v>84</v>
      </c>
    </row>
    <row r="215" spans="1:7" ht="32" customHeight="1">
      <c r="A215" s="3" t="s">
        <v>304</v>
      </c>
      <c r="B215" s="3" t="s">
        <v>35</v>
      </c>
      <c r="C215" s="3" t="s">
        <v>305</v>
      </c>
      <c r="D215" s="4">
        <v>0</v>
      </c>
      <c r="E215" s="4">
        <v>16550</v>
      </c>
      <c r="F215" s="4">
        <v>-16550</v>
      </c>
      <c r="G215" s="3" t="s">
        <v>300</v>
      </c>
    </row>
    <row r="216" spans="1:7" ht="32" customHeight="1">
      <c r="A216" s="3" t="s">
        <v>304</v>
      </c>
      <c r="B216" s="3" t="s">
        <v>31</v>
      </c>
      <c r="C216" s="3" t="s">
        <v>305</v>
      </c>
      <c r="D216" s="4">
        <v>16550</v>
      </c>
      <c r="E216" s="4">
        <v>0</v>
      </c>
      <c r="F216" s="4">
        <v>16550</v>
      </c>
      <c r="G216" s="3" t="s">
        <v>300</v>
      </c>
    </row>
    <row r="217" spans="1:7" ht="32" customHeight="1">
      <c r="A217" s="3" t="s">
        <v>306</v>
      </c>
      <c r="B217" s="3" t="s">
        <v>35</v>
      </c>
      <c r="C217" s="3" t="s">
        <v>307</v>
      </c>
      <c r="D217" s="4">
        <v>0</v>
      </c>
      <c r="E217" s="4">
        <v>10650</v>
      </c>
      <c r="F217" s="4">
        <v>-10650</v>
      </c>
      <c r="G217" s="3" t="s">
        <v>300</v>
      </c>
    </row>
    <row r="218" spans="1:7" ht="32" customHeight="1">
      <c r="A218" s="3" t="s">
        <v>306</v>
      </c>
      <c r="B218" s="3" t="s">
        <v>31</v>
      </c>
      <c r="C218" s="3" t="s">
        <v>307</v>
      </c>
      <c r="D218" s="4">
        <v>10650</v>
      </c>
      <c r="E218" s="4">
        <v>0</v>
      </c>
      <c r="F218" s="4">
        <v>10650</v>
      </c>
      <c r="G218" s="3" t="s">
        <v>300</v>
      </c>
    </row>
    <row r="219" spans="1:7" ht="32" customHeight="1">
      <c r="A219" s="3" t="s">
        <v>308</v>
      </c>
      <c r="B219" s="3" t="s">
        <v>35</v>
      </c>
      <c r="C219" s="3" t="s">
        <v>309</v>
      </c>
      <c r="D219" s="4">
        <v>0</v>
      </c>
      <c r="E219" s="4">
        <v>22040</v>
      </c>
      <c r="F219" s="4">
        <v>-22040</v>
      </c>
      <c r="G219" s="3" t="s">
        <v>300</v>
      </c>
    </row>
    <row r="220" spans="1:7" ht="32" customHeight="1">
      <c r="A220" s="3" t="s">
        <v>308</v>
      </c>
      <c r="B220" s="3" t="s">
        <v>31</v>
      </c>
      <c r="C220" s="3" t="s">
        <v>309</v>
      </c>
      <c r="D220" s="4">
        <v>22040</v>
      </c>
      <c r="E220" s="4">
        <v>0</v>
      </c>
      <c r="F220" s="4">
        <v>22040</v>
      </c>
      <c r="G220" s="3" t="s">
        <v>300</v>
      </c>
    </row>
    <row r="221" spans="1:7" ht="32" customHeight="1">
      <c r="A221" s="3" t="s">
        <v>310</v>
      </c>
      <c r="B221" s="3" t="s">
        <v>59</v>
      </c>
      <c r="C221" s="3" t="s">
        <v>311</v>
      </c>
      <c r="D221" s="4">
        <v>250000</v>
      </c>
      <c r="E221" s="4">
        <v>0</v>
      </c>
      <c r="F221" s="4">
        <v>250000</v>
      </c>
      <c r="G221" s="3" t="s">
        <v>300</v>
      </c>
    </row>
    <row r="222" spans="1:7" ht="32" customHeight="1">
      <c r="A222" s="3" t="s">
        <v>310</v>
      </c>
      <c r="B222" s="3" t="s">
        <v>31</v>
      </c>
      <c r="C222" s="3" t="s">
        <v>311</v>
      </c>
      <c r="D222" s="4">
        <v>0</v>
      </c>
      <c r="E222" s="4">
        <v>250000</v>
      </c>
      <c r="F222" s="4">
        <v>-250000</v>
      </c>
      <c r="G222" s="3" t="s">
        <v>300</v>
      </c>
    </row>
    <row r="223" spans="1:7" ht="32" customHeight="1">
      <c r="A223" s="3" t="s">
        <v>312</v>
      </c>
      <c r="B223" s="3" t="s">
        <v>55</v>
      </c>
      <c r="C223" s="3" t="s">
        <v>193</v>
      </c>
      <c r="D223" s="4">
        <v>144008</v>
      </c>
      <c r="E223" s="4">
        <v>0</v>
      </c>
      <c r="F223" s="4">
        <v>144008</v>
      </c>
      <c r="G223" s="3" t="s">
        <v>300</v>
      </c>
    </row>
    <row r="224" spans="1:7" ht="32" customHeight="1">
      <c r="A224" s="3" t="s">
        <v>312</v>
      </c>
      <c r="B224" s="3" t="s">
        <v>31</v>
      </c>
      <c r="C224" s="3" t="s">
        <v>193</v>
      </c>
      <c r="D224" s="4">
        <v>0</v>
      </c>
      <c r="E224" s="4">
        <v>144008</v>
      </c>
      <c r="F224" s="4">
        <v>-144008</v>
      </c>
      <c r="G224" s="3" t="s">
        <v>300</v>
      </c>
    </row>
    <row r="225" spans="1:7" ht="32" customHeight="1">
      <c r="A225" s="3" t="s">
        <v>313</v>
      </c>
      <c r="B225" s="3" t="s">
        <v>55</v>
      </c>
      <c r="C225" s="3" t="s">
        <v>144</v>
      </c>
      <c r="D225" s="4">
        <v>516154</v>
      </c>
      <c r="E225" s="4">
        <v>0</v>
      </c>
      <c r="F225" s="4">
        <v>516154</v>
      </c>
      <c r="G225" s="3" t="s">
        <v>300</v>
      </c>
    </row>
    <row r="226" spans="1:7" ht="32" customHeight="1">
      <c r="A226" s="3" t="s">
        <v>313</v>
      </c>
      <c r="B226" s="3" t="s">
        <v>31</v>
      </c>
      <c r="C226" s="3" t="s">
        <v>144</v>
      </c>
      <c r="D226" s="4">
        <v>0</v>
      </c>
      <c r="E226" s="4">
        <v>516154</v>
      </c>
      <c r="F226" s="4">
        <v>-516154</v>
      </c>
      <c r="G226" s="3" t="s">
        <v>300</v>
      </c>
    </row>
    <row r="227" spans="1:7" ht="32" customHeight="1">
      <c r="A227" s="3" t="s">
        <v>314</v>
      </c>
      <c r="B227" s="3" t="s">
        <v>55</v>
      </c>
      <c r="C227" s="3" t="s">
        <v>157</v>
      </c>
      <c r="D227" s="4">
        <v>200784</v>
      </c>
      <c r="E227" s="4">
        <v>0</v>
      </c>
      <c r="F227" s="4">
        <v>200784</v>
      </c>
      <c r="G227" s="3" t="s">
        <v>300</v>
      </c>
    </row>
    <row r="228" spans="1:7" ht="32" customHeight="1">
      <c r="A228" s="3" t="s">
        <v>314</v>
      </c>
      <c r="B228" s="3" t="s">
        <v>31</v>
      </c>
      <c r="C228" s="3" t="s">
        <v>157</v>
      </c>
      <c r="D228" s="4">
        <v>0</v>
      </c>
      <c r="E228" s="4">
        <v>200784</v>
      </c>
      <c r="F228" s="4">
        <v>-200784</v>
      </c>
      <c r="G228" s="3" t="s">
        <v>300</v>
      </c>
    </row>
    <row r="229" spans="1:7" ht="32" customHeight="1">
      <c r="A229" s="3" t="s">
        <v>315</v>
      </c>
      <c r="B229" s="3" t="s">
        <v>55</v>
      </c>
      <c r="C229" s="3" t="s">
        <v>169</v>
      </c>
      <c r="D229" s="4">
        <v>194118</v>
      </c>
      <c r="E229" s="4">
        <v>0</v>
      </c>
      <c r="F229" s="4">
        <v>194118</v>
      </c>
      <c r="G229" s="3" t="s">
        <v>300</v>
      </c>
    </row>
    <row r="230" spans="1:7" ht="32" customHeight="1">
      <c r="A230" s="3" t="s">
        <v>315</v>
      </c>
      <c r="B230" s="3" t="s">
        <v>31</v>
      </c>
      <c r="C230" s="3" t="s">
        <v>169</v>
      </c>
      <c r="D230" s="4">
        <v>0</v>
      </c>
      <c r="E230" s="4">
        <v>194118</v>
      </c>
      <c r="F230" s="4">
        <v>-194118</v>
      </c>
      <c r="G230" s="3" t="s">
        <v>300</v>
      </c>
    </row>
    <row r="231" spans="1:7" ht="32" customHeight="1">
      <c r="A231" s="3" t="s">
        <v>316</v>
      </c>
      <c r="B231" s="3" t="s">
        <v>55</v>
      </c>
      <c r="C231" s="3" t="s">
        <v>181</v>
      </c>
      <c r="D231" s="4">
        <v>92175</v>
      </c>
      <c r="E231" s="4">
        <v>0</v>
      </c>
      <c r="F231" s="4">
        <v>92175</v>
      </c>
      <c r="G231" s="3" t="s">
        <v>300</v>
      </c>
    </row>
    <row r="232" spans="1:7" ht="32" customHeight="1">
      <c r="A232" s="3" t="s">
        <v>316</v>
      </c>
      <c r="B232" s="3" t="s">
        <v>31</v>
      </c>
      <c r="C232" s="3" t="s">
        <v>181</v>
      </c>
      <c r="D232" s="4">
        <v>0</v>
      </c>
      <c r="E232" s="4">
        <v>92175</v>
      </c>
      <c r="F232" s="4">
        <v>-92175</v>
      </c>
      <c r="G232" s="3" t="s">
        <v>300</v>
      </c>
    </row>
    <row r="233" spans="1:7" ht="32" customHeight="1">
      <c r="A233" s="3" t="s">
        <v>317</v>
      </c>
      <c r="B233" s="3" t="s">
        <v>295</v>
      </c>
      <c r="C233" s="3" t="s">
        <v>294</v>
      </c>
      <c r="D233" s="4">
        <v>132130</v>
      </c>
      <c r="E233" s="4">
        <v>0</v>
      </c>
      <c r="F233" s="4">
        <v>132130</v>
      </c>
      <c r="G233" s="3" t="s">
        <v>300</v>
      </c>
    </row>
    <row r="234" spans="1:7" ht="32" customHeight="1">
      <c r="A234" s="3" t="s">
        <v>317</v>
      </c>
      <c r="B234" s="3" t="s">
        <v>31</v>
      </c>
      <c r="C234" s="3" t="s">
        <v>294</v>
      </c>
      <c r="D234" s="4">
        <v>0</v>
      </c>
      <c r="E234" s="4">
        <v>132130</v>
      </c>
      <c r="F234" s="4">
        <v>-132130</v>
      </c>
      <c r="G234" s="3" t="s">
        <v>300</v>
      </c>
    </row>
    <row r="235" spans="1:7" ht="32" customHeight="1">
      <c r="A235" s="3" t="s">
        <v>318</v>
      </c>
      <c r="B235" s="3" t="s">
        <v>69</v>
      </c>
      <c r="C235" s="3" t="s">
        <v>319</v>
      </c>
      <c r="D235" s="4">
        <v>41667</v>
      </c>
      <c r="E235" s="4">
        <v>0</v>
      </c>
      <c r="F235" s="4">
        <v>41667</v>
      </c>
      <c r="G235" s="3" t="s">
        <v>320</v>
      </c>
    </row>
    <row r="236" spans="1:7" ht="32" customHeight="1">
      <c r="A236" s="3" t="s">
        <v>318</v>
      </c>
      <c r="B236" s="3" t="s">
        <v>31</v>
      </c>
      <c r="C236" s="3" t="s">
        <v>319</v>
      </c>
      <c r="D236" s="4">
        <v>0</v>
      </c>
      <c r="E236" s="4">
        <v>41667</v>
      </c>
      <c r="F236" s="4">
        <v>-41667</v>
      </c>
      <c r="G236" s="3" t="s">
        <v>320</v>
      </c>
    </row>
    <row r="237" spans="1:7" ht="32" customHeight="1">
      <c r="A237" s="3" t="s">
        <v>321</v>
      </c>
      <c r="B237" s="3" t="s">
        <v>67</v>
      </c>
      <c r="C237" s="3" t="s">
        <v>322</v>
      </c>
      <c r="D237" s="4">
        <v>375000</v>
      </c>
      <c r="E237" s="4">
        <v>0</v>
      </c>
      <c r="F237" s="4">
        <v>375000</v>
      </c>
      <c r="G237" s="3" t="s">
        <v>320</v>
      </c>
    </row>
    <row r="238" spans="1:7" ht="32" customHeight="1">
      <c r="A238" s="3" t="s">
        <v>321</v>
      </c>
      <c r="B238" s="3" t="s">
        <v>31</v>
      </c>
      <c r="C238" s="3" t="s">
        <v>322</v>
      </c>
      <c r="D238" s="4">
        <v>0</v>
      </c>
      <c r="E238" s="4">
        <v>375000</v>
      </c>
      <c r="F238" s="4">
        <v>-375000</v>
      </c>
      <c r="G238" s="3" t="s">
        <v>320</v>
      </c>
    </row>
    <row r="239" spans="1:7" ht="32" customHeight="1">
      <c r="A239" s="3" t="s">
        <v>323</v>
      </c>
      <c r="B239" s="3" t="s">
        <v>55</v>
      </c>
      <c r="C239" s="3" t="s">
        <v>214</v>
      </c>
      <c r="D239" s="4">
        <v>1689</v>
      </c>
      <c r="E239" s="4">
        <v>0</v>
      </c>
      <c r="F239" s="4">
        <v>1689</v>
      </c>
      <c r="G239" s="3" t="s">
        <v>300</v>
      </c>
    </row>
    <row r="240" spans="1:7" ht="32" customHeight="1">
      <c r="A240" s="3" t="s">
        <v>323</v>
      </c>
      <c r="B240" s="3" t="s">
        <v>31</v>
      </c>
      <c r="C240" s="3" t="s">
        <v>214</v>
      </c>
      <c r="D240" s="4">
        <v>0</v>
      </c>
      <c r="E240" s="4">
        <v>1689</v>
      </c>
      <c r="F240" s="4">
        <v>-1689</v>
      </c>
      <c r="G240" s="3" t="s">
        <v>300</v>
      </c>
    </row>
    <row r="241" spans="1:7" ht="32" customHeight="1">
      <c r="A241" s="3" t="s">
        <v>324</v>
      </c>
      <c r="B241" s="3" t="s">
        <v>55</v>
      </c>
      <c r="C241" s="3" t="s">
        <v>218</v>
      </c>
      <c r="D241" s="4">
        <v>1607</v>
      </c>
      <c r="E241" s="4">
        <v>0</v>
      </c>
      <c r="F241" s="4">
        <v>1607</v>
      </c>
      <c r="G241" s="3" t="s">
        <v>300</v>
      </c>
    </row>
    <row r="242" spans="1:7" ht="32" customHeight="1">
      <c r="A242" s="3" t="s">
        <v>324</v>
      </c>
      <c r="B242" s="3" t="s">
        <v>31</v>
      </c>
      <c r="C242" s="3" t="s">
        <v>218</v>
      </c>
      <c r="D242" s="4">
        <v>0</v>
      </c>
      <c r="E242" s="4">
        <v>1607</v>
      </c>
      <c r="F242" s="4">
        <v>-1607</v>
      </c>
      <c r="G242" s="3" t="s">
        <v>300</v>
      </c>
    </row>
    <row r="243" spans="1:7" ht="32" customHeight="1">
      <c r="A243" s="3" t="s">
        <v>325</v>
      </c>
      <c r="B243" s="3" t="s">
        <v>55</v>
      </c>
      <c r="C243" s="3" t="s">
        <v>222</v>
      </c>
      <c r="D243" s="4">
        <v>3790</v>
      </c>
      <c r="E243" s="4">
        <v>0</v>
      </c>
      <c r="F243" s="4">
        <v>3790</v>
      </c>
      <c r="G243" s="3" t="s">
        <v>300</v>
      </c>
    </row>
    <row r="244" spans="1:7" ht="32" customHeight="1">
      <c r="A244" s="3" t="s">
        <v>325</v>
      </c>
      <c r="B244" s="3" t="s">
        <v>31</v>
      </c>
      <c r="C244" s="3" t="s">
        <v>222</v>
      </c>
      <c r="D244" s="4">
        <v>0</v>
      </c>
      <c r="E244" s="4">
        <v>3790</v>
      </c>
      <c r="F244" s="4">
        <v>-3790</v>
      </c>
      <c r="G244" s="3" t="s">
        <v>300</v>
      </c>
    </row>
    <row r="245" spans="1:7" ht="32" customHeight="1">
      <c r="A245" s="3" t="s">
        <v>326</v>
      </c>
      <c r="B245" s="3" t="s">
        <v>55</v>
      </c>
      <c r="C245" s="3" t="s">
        <v>226</v>
      </c>
      <c r="D245" s="4">
        <v>1854</v>
      </c>
      <c r="E245" s="4">
        <v>0</v>
      </c>
      <c r="F245" s="4">
        <v>1854</v>
      </c>
      <c r="G245" s="3" t="s">
        <v>300</v>
      </c>
    </row>
    <row r="246" spans="1:7" ht="32" customHeight="1">
      <c r="A246" s="3" t="s">
        <v>326</v>
      </c>
      <c r="B246" s="3" t="s">
        <v>31</v>
      </c>
      <c r="C246" s="3" t="s">
        <v>226</v>
      </c>
      <c r="D246" s="4">
        <v>0</v>
      </c>
      <c r="E246" s="4">
        <v>1854</v>
      </c>
      <c r="F246" s="4">
        <v>-1854</v>
      </c>
      <c r="G246" s="3" t="s">
        <v>300</v>
      </c>
    </row>
    <row r="247" spans="1:7" ht="32" customHeight="1">
      <c r="A247" s="3" t="s">
        <v>327</v>
      </c>
      <c r="B247" s="3" t="s">
        <v>55</v>
      </c>
      <c r="C247" s="3" t="s">
        <v>230</v>
      </c>
      <c r="D247" s="4">
        <v>1185</v>
      </c>
      <c r="E247" s="4">
        <v>0</v>
      </c>
      <c r="F247" s="4">
        <v>1185</v>
      </c>
      <c r="G247" s="3" t="s">
        <v>300</v>
      </c>
    </row>
    <row r="248" spans="1:7" ht="32" customHeight="1">
      <c r="A248" s="3" t="s">
        <v>327</v>
      </c>
      <c r="B248" s="3" t="s">
        <v>31</v>
      </c>
      <c r="C248" s="3" t="s">
        <v>230</v>
      </c>
      <c r="D248" s="4">
        <v>0</v>
      </c>
      <c r="E248" s="4">
        <v>1185</v>
      </c>
      <c r="F248" s="4">
        <v>-1185</v>
      </c>
      <c r="G248" s="3" t="s">
        <v>300</v>
      </c>
    </row>
    <row r="249" spans="1:7" ht="32" customHeight="1">
      <c r="A249" s="3" t="s">
        <v>328</v>
      </c>
      <c r="B249" s="3" t="s">
        <v>55</v>
      </c>
      <c r="C249" s="3" t="s">
        <v>234</v>
      </c>
      <c r="D249" s="4">
        <v>3914</v>
      </c>
      <c r="E249" s="4">
        <v>0</v>
      </c>
      <c r="F249" s="4">
        <v>3914</v>
      </c>
      <c r="G249" s="3" t="s">
        <v>300</v>
      </c>
    </row>
    <row r="250" spans="1:7" ht="32" customHeight="1">
      <c r="A250" s="3" t="s">
        <v>328</v>
      </c>
      <c r="B250" s="3" t="s">
        <v>31</v>
      </c>
      <c r="C250" s="3" t="s">
        <v>234</v>
      </c>
      <c r="D250" s="4">
        <v>0</v>
      </c>
      <c r="E250" s="4">
        <v>3914</v>
      </c>
      <c r="F250" s="4">
        <v>-3914</v>
      </c>
      <c r="G250" s="3" t="s">
        <v>300</v>
      </c>
    </row>
    <row r="251" spans="1:7" ht="32" customHeight="1">
      <c r="A251" s="3" t="s">
        <v>329</v>
      </c>
      <c r="B251" s="3" t="s">
        <v>55</v>
      </c>
      <c r="C251" s="3" t="s">
        <v>238</v>
      </c>
      <c r="D251" s="4">
        <v>371</v>
      </c>
      <c r="E251" s="4">
        <v>0</v>
      </c>
      <c r="F251" s="4">
        <v>371</v>
      </c>
      <c r="G251" s="3" t="s">
        <v>300</v>
      </c>
    </row>
    <row r="252" spans="1:7" ht="32" customHeight="1">
      <c r="A252" s="3" t="s">
        <v>329</v>
      </c>
      <c r="B252" s="3" t="s">
        <v>31</v>
      </c>
      <c r="C252" s="3" t="s">
        <v>238</v>
      </c>
      <c r="D252" s="4">
        <v>0</v>
      </c>
      <c r="E252" s="4">
        <v>371</v>
      </c>
      <c r="F252" s="4">
        <v>-371</v>
      </c>
      <c r="G252" s="3" t="s">
        <v>300</v>
      </c>
    </row>
    <row r="253" spans="1:7" ht="32" customHeight="1">
      <c r="A253" s="3" t="s">
        <v>330</v>
      </c>
      <c r="B253" s="3" t="s">
        <v>55</v>
      </c>
      <c r="C253" s="3" t="s">
        <v>242</v>
      </c>
      <c r="D253" s="4">
        <v>258</v>
      </c>
      <c r="E253" s="4">
        <v>0</v>
      </c>
      <c r="F253" s="4">
        <v>258</v>
      </c>
      <c r="G253" s="3" t="s">
        <v>300</v>
      </c>
    </row>
    <row r="254" spans="1:7" ht="32" customHeight="1">
      <c r="A254" s="3" t="s">
        <v>330</v>
      </c>
      <c r="B254" s="3" t="s">
        <v>31</v>
      </c>
      <c r="C254" s="3" t="s">
        <v>242</v>
      </c>
      <c r="D254" s="4">
        <v>0</v>
      </c>
      <c r="E254" s="4">
        <v>258</v>
      </c>
      <c r="F254" s="4">
        <v>-258</v>
      </c>
      <c r="G254" s="3" t="s">
        <v>300</v>
      </c>
    </row>
    <row r="255" spans="1:7" ht="32" customHeight="1">
      <c r="A255" s="3" t="s">
        <v>331</v>
      </c>
      <c r="B255" s="3" t="s">
        <v>55</v>
      </c>
      <c r="C255" s="3" t="s">
        <v>246</v>
      </c>
      <c r="D255" s="4">
        <v>824</v>
      </c>
      <c r="E255" s="4">
        <v>0</v>
      </c>
      <c r="F255" s="4">
        <v>824</v>
      </c>
      <c r="G255" s="3" t="s">
        <v>300</v>
      </c>
    </row>
    <row r="256" spans="1:7" ht="32" customHeight="1">
      <c r="A256" s="3" t="s">
        <v>331</v>
      </c>
      <c r="B256" s="3" t="s">
        <v>31</v>
      </c>
      <c r="C256" s="3" t="s">
        <v>246</v>
      </c>
      <c r="D256" s="4">
        <v>0</v>
      </c>
      <c r="E256" s="4">
        <v>824</v>
      </c>
      <c r="F256" s="4">
        <v>-824</v>
      </c>
      <c r="G256" s="3" t="s">
        <v>300</v>
      </c>
    </row>
    <row r="257" spans="1:7" ht="32" customHeight="1">
      <c r="A257" s="3" t="s">
        <v>332</v>
      </c>
      <c r="B257" s="3" t="s">
        <v>55</v>
      </c>
      <c r="C257" s="3" t="s">
        <v>262</v>
      </c>
      <c r="D257" s="4">
        <v>309</v>
      </c>
      <c r="E257" s="4">
        <v>0</v>
      </c>
      <c r="F257" s="4">
        <v>309</v>
      </c>
      <c r="G257" s="3" t="s">
        <v>300</v>
      </c>
    </row>
    <row r="258" spans="1:7" ht="32" customHeight="1">
      <c r="A258" s="3" t="s">
        <v>332</v>
      </c>
      <c r="B258" s="3" t="s">
        <v>31</v>
      </c>
      <c r="C258" s="3" t="s">
        <v>262</v>
      </c>
      <c r="D258" s="4">
        <v>0</v>
      </c>
      <c r="E258" s="4">
        <v>309</v>
      </c>
      <c r="F258" s="4">
        <v>-309</v>
      </c>
      <c r="G258" s="3" t="s">
        <v>300</v>
      </c>
    </row>
    <row r="259" spans="1:7" ht="32" customHeight="1">
      <c r="A259" s="3" t="s">
        <v>333</v>
      </c>
      <c r="B259" s="3" t="s">
        <v>55</v>
      </c>
      <c r="C259" s="3" t="s">
        <v>266</v>
      </c>
      <c r="D259" s="4">
        <v>299</v>
      </c>
      <c r="E259" s="4">
        <v>0</v>
      </c>
      <c r="F259" s="4">
        <v>299</v>
      </c>
      <c r="G259" s="3" t="s">
        <v>300</v>
      </c>
    </row>
    <row r="260" spans="1:7" ht="32" customHeight="1">
      <c r="A260" s="3" t="s">
        <v>333</v>
      </c>
      <c r="B260" s="3" t="s">
        <v>31</v>
      </c>
      <c r="C260" s="3" t="s">
        <v>266</v>
      </c>
      <c r="D260" s="4">
        <v>0</v>
      </c>
      <c r="E260" s="4">
        <v>299</v>
      </c>
      <c r="F260" s="4">
        <v>-299</v>
      </c>
      <c r="G260" s="3" t="s">
        <v>300</v>
      </c>
    </row>
    <row r="261" spans="1:7" ht="32" customHeight="1">
      <c r="A261" s="3" t="s">
        <v>334</v>
      </c>
      <c r="B261" s="3" t="s">
        <v>55</v>
      </c>
      <c r="C261" s="3" t="s">
        <v>270</v>
      </c>
      <c r="D261" s="4">
        <v>453</v>
      </c>
      <c r="E261" s="4">
        <v>0</v>
      </c>
      <c r="F261" s="4">
        <v>453</v>
      </c>
      <c r="G261" s="3" t="s">
        <v>300</v>
      </c>
    </row>
    <row r="262" spans="1:7" ht="32" customHeight="1">
      <c r="A262" s="3" t="s">
        <v>334</v>
      </c>
      <c r="B262" s="3" t="s">
        <v>31</v>
      </c>
      <c r="C262" s="3" t="s">
        <v>270</v>
      </c>
      <c r="D262" s="4">
        <v>0</v>
      </c>
      <c r="E262" s="4">
        <v>453</v>
      </c>
      <c r="F262" s="4">
        <v>-453</v>
      </c>
      <c r="G262" s="3" t="s">
        <v>300</v>
      </c>
    </row>
    <row r="263" spans="1:7" ht="32" customHeight="1">
      <c r="A263" s="3" t="s">
        <v>335</v>
      </c>
      <c r="B263" s="3" t="s">
        <v>55</v>
      </c>
      <c r="C263" s="3" t="s">
        <v>250</v>
      </c>
      <c r="D263" s="4">
        <v>886</v>
      </c>
      <c r="E263" s="4">
        <v>0</v>
      </c>
      <c r="F263" s="4">
        <v>886</v>
      </c>
      <c r="G263" s="3" t="s">
        <v>300</v>
      </c>
    </row>
    <row r="264" spans="1:7" ht="32" customHeight="1">
      <c r="A264" s="3" t="s">
        <v>335</v>
      </c>
      <c r="B264" s="3" t="s">
        <v>31</v>
      </c>
      <c r="C264" s="3" t="s">
        <v>250</v>
      </c>
      <c r="D264" s="4">
        <v>0</v>
      </c>
      <c r="E264" s="4">
        <v>886</v>
      </c>
      <c r="F264" s="4">
        <v>-886</v>
      </c>
      <c r="G264" s="3" t="s">
        <v>300</v>
      </c>
    </row>
    <row r="265" spans="1:7" ht="32" customHeight="1">
      <c r="A265" s="3" t="s">
        <v>336</v>
      </c>
      <c r="B265" s="3" t="s">
        <v>55</v>
      </c>
      <c r="C265" s="3" t="s">
        <v>254</v>
      </c>
      <c r="D265" s="4">
        <v>762</v>
      </c>
      <c r="E265" s="4">
        <v>0</v>
      </c>
      <c r="F265" s="4">
        <v>762</v>
      </c>
      <c r="G265" s="3" t="s">
        <v>300</v>
      </c>
    </row>
    <row r="266" spans="1:7" ht="32" customHeight="1">
      <c r="A266" s="3" t="s">
        <v>336</v>
      </c>
      <c r="B266" s="3" t="s">
        <v>31</v>
      </c>
      <c r="C266" s="3" t="s">
        <v>254</v>
      </c>
      <c r="D266" s="4">
        <v>0</v>
      </c>
      <c r="E266" s="4">
        <v>762</v>
      </c>
      <c r="F266" s="4">
        <v>-762</v>
      </c>
      <c r="G266" s="3" t="s">
        <v>300</v>
      </c>
    </row>
    <row r="267" spans="1:7" ht="32" customHeight="1">
      <c r="A267" s="3" t="s">
        <v>337</v>
      </c>
      <c r="B267" s="3" t="s">
        <v>55</v>
      </c>
      <c r="C267" s="3" t="s">
        <v>258</v>
      </c>
      <c r="D267" s="4">
        <v>1545</v>
      </c>
      <c r="E267" s="4">
        <v>0</v>
      </c>
      <c r="F267" s="4">
        <v>1545</v>
      </c>
      <c r="G267" s="3" t="s">
        <v>300</v>
      </c>
    </row>
    <row r="268" spans="1:7" ht="32" customHeight="1">
      <c r="A268" s="3" t="s">
        <v>337</v>
      </c>
      <c r="B268" s="3" t="s">
        <v>31</v>
      </c>
      <c r="C268" s="3" t="s">
        <v>258</v>
      </c>
      <c r="D268" s="4">
        <v>0</v>
      </c>
      <c r="E268" s="4">
        <v>1545</v>
      </c>
      <c r="F268" s="4">
        <v>-1545</v>
      </c>
      <c r="G268" s="3" t="s">
        <v>300</v>
      </c>
    </row>
    <row r="269" spans="1:7" ht="32" customHeight="1">
      <c r="A269" s="3" t="s">
        <v>338</v>
      </c>
      <c r="B269" s="3" t="s">
        <v>55</v>
      </c>
      <c r="C269" s="3" t="s">
        <v>272</v>
      </c>
      <c r="D269" s="4">
        <v>1030</v>
      </c>
      <c r="E269" s="4">
        <v>0</v>
      </c>
      <c r="F269" s="4">
        <v>1030</v>
      </c>
      <c r="G269" s="3" t="s">
        <v>300</v>
      </c>
    </row>
    <row r="270" spans="1:7" ht="32" customHeight="1">
      <c r="A270" s="3" t="s">
        <v>338</v>
      </c>
      <c r="B270" s="3" t="s">
        <v>31</v>
      </c>
      <c r="C270" s="3" t="s">
        <v>272</v>
      </c>
      <c r="D270" s="4">
        <v>0</v>
      </c>
      <c r="E270" s="4">
        <v>1030</v>
      </c>
      <c r="F270" s="4">
        <v>-1030</v>
      </c>
      <c r="G270" s="3" t="s">
        <v>300</v>
      </c>
    </row>
    <row r="271" spans="1:7" ht="32" customHeight="1">
      <c r="A271" s="3" t="s">
        <v>339</v>
      </c>
      <c r="B271" s="3" t="s">
        <v>55</v>
      </c>
      <c r="C271" s="3" t="s">
        <v>274</v>
      </c>
      <c r="D271" s="4">
        <v>2060</v>
      </c>
      <c r="E271" s="4">
        <v>0</v>
      </c>
      <c r="F271" s="4">
        <v>2060</v>
      </c>
      <c r="G271" s="3" t="s">
        <v>300</v>
      </c>
    </row>
    <row r="272" spans="1:7" ht="32" customHeight="1">
      <c r="A272" s="3" t="s">
        <v>339</v>
      </c>
      <c r="B272" s="3" t="s">
        <v>31</v>
      </c>
      <c r="C272" s="3" t="s">
        <v>274</v>
      </c>
      <c r="D272" s="4">
        <v>0</v>
      </c>
      <c r="E272" s="4">
        <v>2060</v>
      </c>
      <c r="F272" s="4">
        <v>-2060</v>
      </c>
      <c r="G272" s="3" t="s">
        <v>300</v>
      </c>
    </row>
    <row r="273" spans="1:7" ht="32" customHeight="1">
      <c r="A273" s="3" t="s">
        <v>340</v>
      </c>
      <c r="B273" s="3" t="s">
        <v>55</v>
      </c>
      <c r="C273" s="3" t="s">
        <v>276</v>
      </c>
      <c r="D273" s="4">
        <v>1030</v>
      </c>
      <c r="E273" s="4">
        <v>0</v>
      </c>
      <c r="F273" s="4">
        <v>1030</v>
      </c>
      <c r="G273" s="3" t="s">
        <v>300</v>
      </c>
    </row>
    <row r="274" spans="1:7" ht="32" customHeight="1">
      <c r="A274" s="3" t="s">
        <v>340</v>
      </c>
      <c r="B274" s="3" t="s">
        <v>31</v>
      </c>
      <c r="C274" s="3" t="s">
        <v>276</v>
      </c>
      <c r="D274" s="4">
        <v>0</v>
      </c>
      <c r="E274" s="4">
        <v>1030</v>
      </c>
      <c r="F274" s="4">
        <v>-1030</v>
      </c>
      <c r="G274" s="3" t="s">
        <v>300</v>
      </c>
    </row>
    <row r="275" spans="1:7" ht="32" customHeight="1">
      <c r="A275" s="3" t="s">
        <v>341</v>
      </c>
      <c r="B275" s="3" t="s">
        <v>55</v>
      </c>
      <c r="C275" s="3" t="s">
        <v>342</v>
      </c>
      <c r="D275" s="4">
        <v>3090000</v>
      </c>
      <c r="E275" s="4">
        <v>0</v>
      </c>
      <c r="F275" s="4">
        <v>3090000</v>
      </c>
      <c r="G275" s="3" t="s">
        <v>300</v>
      </c>
    </row>
    <row r="276" spans="1:7" ht="32" customHeight="1">
      <c r="A276" s="3" t="s">
        <v>341</v>
      </c>
      <c r="B276" s="3" t="s">
        <v>31</v>
      </c>
      <c r="C276" s="3" t="s">
        <v>342</v>
      </c>
      <c r="D276" s="4">
        <v>0</v>
      </c>
      <c r="E276" s="4">
        <v>3090000</v>
      </c>
      <c r="F276" s="4">
        <v>-3090000</v>
      </c>
      <c r="G276" s="3" t="s">
        <v>300</v>
      </c>
    </row>
    <row r="277" spans="1:7" ht="32" customHeight="1">
      <c r="A277" s="3" t="s">
        <v>343</v>
      </c>
      <c r="B277" s="3" t="s">
        <v>41</v>
      </c>
      <c r="C277" s="3" t="s">
        <v>344</v>
      </c>
      <c r="D277" s="4">
        <v>283250</v>
      </c>
      <c r="E277" s="4">
        <v>0</v>
      </c>
      <c r="F277" s="4">
        <v>283250</v>
      </c>
      <c r="G277" s="3" t="s">
        <v>345</v>
      </c>
    </row>
    <row r="278" spans="1:7" ht="32" customHeight="1">
      <c r="A278" s="3" t="s">
        <v>343</v>
      </c>
      <c r="B278" s="3" t="s">
        <v>31</v>
      </c>
      <c r="C278" s="3" t="s">
        <v>344</v>
      </c>
      <c r="D278" s="4">
        <v>0</v>
      </c>
      <c r="E278" s="4">
        <v>283250</v>
      </c>
      <c r="F278" s="4">
        <v>-283250</v>
      </c>
      <c r="G278" s="3" t="s">
        <v>345</v>
      </c>
    </row>
  </sheetData>
  <mergeCells count="1">
    <mergeCell ref="A1:G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3" width="18.7109375" customWidth="1"/>
    <col min="4" max="4" width="38.7109375" customWidth="1"/>
    <col min="5" max="5" width="22.7109375" customWidth="1"/>
  </cols>
  <sheetData>
    <row r="1" spans="1:5">
      <c r="A1" s="1" t="s">
        <v>346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76</v>
      </c>
      <c r="B4" s="2" t="s">
        <v>347</v>
      </c>
      <c r="C4" s="2" t="s">
        <v>348</v>
      </c>
      <c r="D4" s="2" t="s">
        <v>349</v>
      </c>
      <c r="E4" s="2" t="s">
        <v>350</v>
      </c>
    </row>
    <row r="5" spans="1:5" ht="32" customHeight="1">
      <c r="A5" s="3" t="s">
        <v>298</v>
      </c>
      <c r="B5" s="3" t="s">
        <v>351</v>
      </c>
      <c r="C5" s="3" t="s">
        <v>352</v>
      </c>
      <c r="D5" s="3" t="s">
        <v>353</v>
      </c>
      <c r="E5" s="4">
        <v>4590000</v>
      </c>
    </row>
    <row r="6" spans="1:5" ht="32" customHeight="1">
      <c r="A6" s="3" t="s">
        <v>304</v>
      </c>
      <c r="B6" s="3" t="s">
        <v>351</v>
      </c>
      <c r="C6" s="3" t="s">
        <v>352</v>
      </c>
      <c r="D6" s="3" t="s">
        <v>354</v>
      </c>
      <c r="E6" s="4">
        <v>16550</v>
      </c>
    </row>
    <row r="7" spans="1:5" ht="32" customHeight="1">
      <c r="A7" s="3" t="s">
        <v>306</v>
      </c>
      <c r="B7" s="3" t="s">
        <v>351</v>
      </c>
      <c r="C7" s="3" t="s">
        <v>352</v>
      </c>
      <c r="D7" s="3" t="s">
        <v>355</v>
      </c>
      <c r="E7" s="4">
        <v>10650</v>
      </c>
    </row>
    <row r="8" spans="1:5" ht="32" customHeight="1">
      <c r="A8" s="3" t="s">
        <v>308</v>
      </c>
      <c r="B8" s="3" t="s">
        <v>351</v>
      </c>
      <c r="C8" s="3" t="s">
        <v>352</v>
      </c>
      <c r="D8" s="3" t="s">
        <v>356</v>
      </c>
      <c r="E8" s="4">
        <v>22040</v>
      </c>
    </row>
    <row r="9" spans="1:5" ht="32" customHeight="1">
      <c r="A9" s="3" t="s">
        <v>310</v>
      </c>
      <c r="B9" s="3" t="s">
        <v>351</v>
      </c>
      <c r="C9" s="3" t="s">
        <v>352</v>
      </c>
      <c r="D9" s="3" t="s">
        <v>357</v>
      </c>
      <c r="E9" s="4">
        <v>-250000</v>
      </c>
    </row>
    <row r="10" spans="1:5" ht="32" customHeight="1">
      <c r="A10" s="3" t="s">
        <v>312</v>
      </c>
      <c r="B10" s="3" t="s">
        <v>351</v>
      </c>
      <c r="C10" s="3" t="s">
        <v>352</v>
      </c>
      <c r="D10" s="3" t="s">
        <v>358</v>
      </c>
      <c r="E10" s="4">
        <v>-144008</v>
      </c>
    </row>
    <row r="11" spans="1:5" ht="32" customHeight="1">
      <c r="A11" s="3" t="s">
        <v>313</v>
      </c>
      <c r="B11" s="3" t="s">
        <v>351</v>
      </c>
      <c r="C11" s="3" t="s">
        <v>352</v>
      </c>
      <c r="D11" s="3" t="s">
        <v>359</v>
      </c>
      <c r="E11" s="4">
        <v>-516154</v>
      </c>
    </row>
    <row r="12" spans="1:5" ht="32" customHeight="1">
      <c r="A12" s="3" t="s">
        <v>314</v>
      </c>
      <c r="B12" s="3" t="s">
        <v>351</v>
      </c>
      <c r="C12" s="3" t="s">
        <v>352</v>
      </c>
      <c r="D12" s="3" t="s">
        <v>360</v>
      </c>
      <c r="E12" s="4">
        <v>-200784</v>
      </c>
    </row>
    <row r="13" spans="1:5" ht="32" customHeight="1">
      <c r="A13" s="3" t="s">
        <v>315</v>
      </c>
      <c r="B13" s="3" t="s">
        <v>351</v>
      </c>
      <c r="C13" s="3" t="s">
        <v>352</v>
      </c>
      <c r="D13" s="3" t="s">
        <v>361</v>
      </c>
      <c r="E13" s="4">
        <v>-194118</v>
      </c>
    </row>
    <row r="14" spans="1:5" ht="32" customHeight="1">
      <c r="A14" s="3" t="s">
        <v>316</v>
      </c>
      <c r="B14" s="3" t="s">
        <v>351</v>
      </c>
      <c r="C14" s="3" t="s">
        <v>352</v>
      </c>
      <c r="D14" s="3" t="s">
        <v>362</v>
      </c>
      <c r="E14" s="4">
        <v>-92175</v>
      </c>
    </row>
    <row r="15" spans="1:5" ht="32" customHeight="1">
      <c r="A15" s="3" t="s">
        <v>317</v>
      </c>
      <c r="B15" s="3" t="s">
        <v>351</v>
      </c>
      <c r="C15" s="3" t="s">
        <v>352</v>
      </c>
      <c r="D15" s="3" t="s">
        <v>363</v>
      </c>
      <c r="E15" s="4">
        <v>-132130</v>
      </c>
    </row>
    <row r="16" spans="1:5" ht="32" customHeight="1">
      <c r="A16" s="3" t="s">
        <v>318</v>
      </c>
      <c r="B16" s="3" t="s">
        <v>351</v>
      </c>
      <c r="C16" s="3" t="s">
        <v>352</v>
      </c>
      <c r="D16" s="3" t="s">
        <v>364</v>
      </c>
      <c r="E16" s="4">
        <v>-41667</v>
      </c>
    </row>
    <row r="17" spans="1:5" ht="32" customHeight="1">
      <c r="A17" s="3" t="s">
        <v>321</v>
      </c>
      <c r="B17" s="3" t="s">
        <v>351</v>
      </c>
      <c r="C17" s="3" t="s">
        <v>352</v>
      </c>
      <c r="D17" s="3" t="s">
        <v>365</v>
      </c>
      <c r="E17" s="4">
        <v>-375000</v>
      </c>
    </row>
    <row r="18" spans="1:5" ht="32" customHeight="1">
      <c r="A18" s="3" t="s">
        <v>323</v>
      </c>
      <c r="B18" s="3" t="s">
        <v>351</v>
      </c>
      <c r="C18" s="3" t="s">
        <v>352</v>
      </c>
      <c r="D18" s="3" t="s">
        <v>366</v>
      </c>
      <c r="E18" s="4">
        <v>-1689</v>
      </c>
    </row>
    <row r="19" spans="1:5" ht="32" customHeight="1">
      <c r="A19" s="3" t="s">
        <v>324</v>
      </c>
      <c r="B19" s="3" t="s">
        <v>351</v>
      </c>
      <c r="C19" s="3" t="s">
        <v>352</v>
      </c>
      <c r="D19" s="3" t="s">
        <v>367</v>
      </c>
      <c r="E19" s="4">
        <v>-1607</v>
      </c>
    </row>
    <row r="20" spans="1:5" ht="32" customHeight="1">
      <c r="A20" s="3" t="s">
        <v>325</v>
      </c>
      <c r="B20" s="3" t="s">
        <v>351</v>
      </c>
      <c r="C20" s="3" t="s">
        <v>352</v>
      </c>
      <c r="D20" s="3" t="s">
        <v>368</v>
      </c>
      <c r="E20" s="4">
        <v>-3790</v>
      </c>
    </row>
    <row r="21" spans="1:5" ht="32" customHeight="1">
      <c r="A21" s="3" t="s">
        <v>326</v>
      </c>
      <c r="B21" s="3" t="s">
        <v>351</v>
      </c>
      <c r="C21" s="3" t="s">
        <v>352</v>
      </c>
      <c r="D21" s="3" t="s">
        <v>369</v>
      </c>
      <c r="E21" s="4">
        <v>-1854</v>
      </c>
    </row>
    <row r="22" spans="1:5" ht="32" customHeight="1">
      <c r="A22" s="3" t="s">
        <v>327</v>
      </c>
      <c r="B22" s="3" t="s">
        <v>351</v>
      </c>
      <c r="C22" s="3" t="s">
        <v>352</v>
      </c>
      <c r="D22" s="3" t="s">
        <v>370</v>
      </c>
      <c r="E22" s="4">
        <v>-1185</v>
      </c>
    </row>
    <row r="23" spans="1:5" ht="32" customHeight="1">
      <c r="A23" s="3" t="s">
        <v>328</v>
      </c>
      <c r="B23" s="3" t="s">
        <v>351</v>
      </c>
      <c r="C23" s="3" t="s">
        <v>352</v>
      </c>
      <c r="D23" s="3" t="s">
        <v>371</v>
      </c>
      <c r="E23" s="4">
        <v>-3914</v>
      </c>
    </row>
    <row r="24" spans="1:5" ht="32" customHeight="1">
      <c r="A24" s="3" t="s">
        <v>329</v>
      </c>
      <c r="B24" s="3" t="s">
        <v>351</v>
      </c>
      <c r="C24" s="3" t="s">
        <v>352</v>
      </c>
      <c r="D24" s="3" t="s">
        <v>372</v>
      </c>
      <c r="E24" s="4">
        <v>-371</v>
      </c>
    </row>
    <row r="25" spans="1:5" ht="32" customHeight="1">
      <c r="A25" s="3" t="s">
        <v>330</v>
      </c>
      <c r="B25" s="3" t="s">
        <v>351</v>
      </c>
      <c r="C25" s="3" t="s">
        <v>352</v>
      </c>
      <c r="D25" s="3" t="s">
        <v>373</v>
      </c>
      <c r="E25" s="4">
        <v>-258</v>
      </c>
    </row>
    <row r="26" spans="1:5" ht="32" customHeight="1">
      <c r="A26" s="3" t="s">
        <v>331</v>
      </c>
      <c r="B26" s="3" t="s">
        <v>351</v>
      </c>
      <c r="C26" s="3" t="s">
        <v>352</v>
      </c>
      <c r="D26" s="3" t="s">
        <v>374</v>
      </c>
      <c r="E26" s="4">
        <v>-824</v>
      </c>
    </row>
    <row r="27" spans="1:5" ht="32" customHeight="1">
      <c r="A27" s="3" t="s">
        <v>332</v>
      </c>
      <c r="B27" s="3" t="s">
        <v>351</v>
      </c>
      <c r="C27" s="3" t="s">
        <v>352</v>
      </c>
      <c r="D27" s="3" t="s">
        <v>375</v>
      </c>
      <c r="E27" s="4">
        <v>-309</v>
      </c>
    </row>
    <row r="28" spans="1:5" ht="32" customHeight="1">
      <c r="A28" s="3" t="s">
        <v>333</v>
      </c>
      <c r="B28" s="3" t="s">
        <v>351</v>
      </c>
      <c r="C28" s="3" t="s">
        <v>352</v>
      </c>
      <c r="D28" s="3" t="s">
        <v>376</v>
      </c>
      <c r="E28" s="4">
        <v>-299</v>
      </c>
    </row>
    <row r="29" spans="1:5" ht="32" customHeight="1">
      <c r="A29" s="3" t="s">
        <v>334</v>
      </c>
      <c r="B29" s="3" t="s">
        <v>351</v>
      </c>
      <c r="C29" s="3" t="s">
        <v>352</v>
      </c>
      <c r="D29" s="3" t="s">
        <v>377</v>
      </c>
      <c r="E29" s="4">
        <v>-453</v>
      </c>
    </row>
    <row r="30" spans="1:5" ht="32" customHeight="1">
      <c r="A30" s="3" t="s">
        <v>335</v>
      </c>
      <c r="B30" s="3" t="s">
        <v>351</v>
      </c>
      <c r="C30" s="3" t="s">
        <v>352</v>
      </c>
      <c r="D30" s="3" t="s">
        <v>378</v>
      </c>
      <c r="E30" s="4">
        <v>-886</v>
      </c>
    </row>
    <row r="31" spans="1:5" ht="32" customHeight="1">
      <c r="A31" s="3" t="s">
        <v>336</v>
      </c>
      <c r="B31" s="3" t="s">
        <v>351</v>
      </c>
      <c r="C31" s="3" t="s">
        <v>352</v>
      </c>
      <c r="D31" s="3" t="s">
        <v>379</v>
      </c>
      <c r="E31" s="4">
        <v>-762</v>
      </c>
    </row>
    <row r="32" spans="1:5" ht="32" customHeight="1">
      <c r="A32" s="3" t="s">
        <v>337</v>
      </c>
      <c r="B32" s="3" t="s">
        <v>351</v>
      </c>
      <c r="C32" s="3" t="s">
        <v>352</v>
      </c>
      <c r="D32" s="3" t="s">
        <v>380</v>
      </c>
      <c r="E32" s="4">
        <v>-1545</v>
      </c>
    </row>
    <row r="33" spans="1:5" ht="32" customHeight="1">
      <c r="A33" s="3" t="s">
        <v>338</v>
      </c>
      <c r="B33" s="3" t="s">
        <v>351</v>
      </c>
      <c r="C33" s="3" t="s">
        <v>352</v>
      </c>
      <c r="D33" s="3" t="s">
        <v>381</v>
      </c>
      <c r="E33" s="4">
        <v>-1030</v>
      </c>
    </row>
    <row r="34" spans="1:5" ht="32" customHeight="1">
      <c r="A34" s="3" t="s">
        <v>339</v>
      </c>
      <c r="B34" s="3" t="s">
        <v>351</v>
      </c>
      <c r="C34" s="3" t="s">
        <v>352</v>
      </c>
      <c r="D34" s="3" t="s">
        <v>382</v>
      </c>
      <c r="E34" s="4">
        <v>-2060</v>
      </c>
    </row>
    <row r="35" spans="1:5" ht="32" customHeight="1">
      <c r="A35" s="3" t="s">
        <v>340</v>
      </c>
      <c r="B35" s="3" t="s">
        <v>351</v>
      </c>
      <c r="C35" s="3" t="s">
        <v>352</v>
      </c>
      <c r="D35" s="3" t="s">
        <v>383</v>
      </c>
      <c r="E35" s="4">
        <v>-1030</v>
      </c>
    </row>
    <row r="36" spans="1:5" ht="32" customHeight="1">
      <c r="A36" s="3" t="s">
        <v>341</v>
      </c>
      <c r="B36" s="3" t="s">
        <v>351</v>
      </c>
      <c r="C36" s="3" t="s">
        <v>352</v>
      </c>
      <c r="D36" s="3" t="s">
        <v>384</v>
      </c>
      <c r="E36" s="4">
        <v>-3090000</v>
      </c>
    </row>
    <row r="37" spans="1:5" ht="32" customHeight="1">
      <c r="A37" s="3" t="s">
        <v>343</v>
      </c>
      <c r="B37" s="3" t="s">
        <v>351</v>
      </c>
      <c r="C37" s="3" t="s">
        <v>352</v>
      </c>
      <c r="D37" s="3" t="s">
        <v>385</v>
      </c>
      <c r="E37" s="4">
        <v>-283250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2.7109375" customWidth="1"/>
    <col min="2" max="2" width="28.7109375" customWidth="1"/>
  </cols>
  <sheetData>
    <row r="1" spans="1:2">
      <c r="A1" s="1" t="s">
        <v>386</v>
      </c>
      <c r="B1" s="1"/>
    </row>
    <row r="2" spans="1:2">
      <c r="A2" s="1"/>
      <c r="B2" s="1"/>
    </row>
    <row r="4" spans="1:2" ht="32" customHeight="1">
      <c r="A4" s="2" t="s">
        <v>387</v>
      </c>
      <c r="B4" s="2" t="s">
        <v>388</v>
      </c>
    </row>
    <row r="5" spans="1:2" ht="32" customHeight="1">
      <c r="A5" s="3" t="s">
        <v>389</v>
      </c>
      <c r="B5" s="4">
        <v>4198440</v>
      </c>
    </row>
    <row r="6" spans="1:2" ht="32" customHeight="1">
      <c r="A6" s="3" t="s">
        <v>390</v>
      </c>
      <c r="B6" s="4">
        <v>0</v>
      </c>
    </row>
    <row r="7" spans="1:2" ht="32" customHeight="1">
      <c r="A7" s="3" t="s">
        <v>391</v>
      </c>
      <c r="B7" s="4">
        <v>0</v>
      </c>
    </row>
    <row r="8" spans="1:2" ht="32" customHeight="1">
      <c r="A8" s="3" t="s">
        <v>392</v>
      </c>
      <c r="B8" s="4">
        <v>4198440</v>
      </c>
    </row>
    <row r="9" spans="1:2" ht="32" customHeight="1">
      <c r="A9" s="3" t="s">
        <v>393</v>
      </c>
      <c r="B9" s="4">
        <v>4639240</v>
      </c>
    </row>
    <row r="10" spans="1:2" ht="32" customHeight="1">
      <c r="A10" s="3" t="s">
        <v>394</v>
      </c>
      <c r="B10" s="4">
        <v>5343152</v>
      </c>
    </row>
    <row r="11" spans="1:2" ht="32" customHeight="1">
      <c r="A11" s="3" t="s">
        <v>395</v>
      </c>
      <c r="B11" s="4">
        <v>3494528</v>
      </c>
    </row>
    <row r="12" spans="1:2" ht="32" customHeight="1">
      <c r="A12" s="3" t="s">
        <v>396</v>
      </c>
      <c r="B12" s="4">
        <v>3494528</v>
      </c>
    </row>
  </sheetData>
  <mergeCells count="1">
    <mergeCell ref="A1:B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2" width="65.7109375" customWidth="1"/>
    <col min="3" max="5" width="22.7109375" customWidth="1"/>
  </cols>
  <sheetData>
    <row r="1" spans="1:5">
      <c r="A1" s="1" t="s">
        <v>397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</row>
    <row r="5" spans="1:5" ht="32" customHeight="1">
      <c r="A5" s="3" t="s">
        <v>82</v>
      </c>
      <c r="B5" s="3" t="s">
        <v>83</v>
      </c>
      <c r="C5" s="4">
        <v>246974</v>
      </c>
      <c r="D5" s="4">
        <v>0</v>
      </c>
      <c r="E5" s="4">
        <v>246974</v>
      </c>
    </row>
    <row r="6" spans="1:5" ht="32" customHeight="1">
      <c r="A6" s="3" t="s">
        <v>86</v>
      </c>
      <c r="B6" s="3" t="s">
        <v>87</v>
      </c>
      <c r="C6" s="4">
        <v>106674</v>
      </c>
      <c r="D6" s="4">
        <v>0</v>
      </c>
      <c r="E6" s="4">
        <v>106674</v>
      </c>
    </row>
    <row r="7" spans="1:5" ht="32" customHeight="1">
      <c r="A7" s="3" t="s">
        <v>88</v>
      </c>
      <c r="B7" s="3" t="s">
        <v>89</v>
      </c>
      <c r="C7" s="4">
        <v>185420</v>
      </c>
      <c r="D7" s="4">
        <v>0</v>
      </c>
      <c r="E7" s="4">
        <v>185420</v>
      </c>
    </row>
    <row r="8" spans="1:5" ht="32" customHeight="1">
      <c r="A8" s="3" t="s">
        <v>90</v>
      </c>
      <c r="B8" s="3" t="s">
        <v>91</v>
      </c>
      <c r="C8" s="4">
        <v>83534</v>
      </c>
      <c r="D8" s="4">
        <v>0</v>
      </c>
      <c r="E8" s="4">
        <v>83534</v>
      </c>
    </row>
    <row r="9" spans="1:5" ht="32" customHeight="1">
      <c r="A9" s="3" t="s">
        <v>92</v>
      </c>
      <c r="B9" s="3" t="s">
        <v>93</v>
      </c>
      <c r="C9" s="4">
        <v>96011</v>
      </c>
      <c r="D9" s="4">
        <v>0</v>
      </c>
      <c r="E9" s="4">
        <v>96011</v>
      </c>
    </row>
    <row r="10" spans="1:5" ht="32" customHeight="1">
      <c r="A10" s="3" t="s">
        <v>94</v>
      </c>
      <c r="B10" s="3" t="s">
        <v>95</v>
      </c>
      <c r="C10" s="4">
        <v>49111</v>
      </c>
      <c r="D10" s="4">
        <v>0</v>
      </c>
      <c r="E10" s="4">
        <v>49111</v>
      </c>
    </row>
    <row r="11" spans="1:5" ht="32" customHeight="1">
      <c r="A11" s="3" t="s">
        <v>96</v>
      </c>
      <c r="B11" s="3" t="s">
        <v>97</v>
      </c>
      <c r="C11" s="4">
        <v>113434</v>
      </c>
      <c r="D11" s="4">
        <v>0</v>
      </c>
      <c r="E11" s="4">
        <v>113434</v>
      </c>
    </row>
    <row r="12" spans="1:5" ht="32" customHeight="1">
      <c r="A12" s="3" t="s">
        <v>98</v>
      </c>
      <c r="B12" s="3" t="s">
        <v>99</v>
      </c>
      <c r="C12" s="4">
        <v>60837</v>
      </c>
      <c r="D12" s="4">
        <v>0</v>
      </c>
      <c r="E12" s="4">
        <v>60837</v>
      </c>
    </row>
    <row r="13" spans="1:5" ht="32" customHeight="1">
      <c r="A13" s="3" t="s">
        <v>100</v>
      </c>
      <c r="B13" s="3" t="s">
        <v>101</v>
      </c>
      <c r="C13" s="4">
        <v>55395</v>
      </c>
      <c r="D13" s="4">
        <v>0</v>
      </c>
      <c r="E13" s="4">
        <v>55395</v>
      </c>
    </row>
    <row r="14" spans="1:5" ht="32" customHeight="1">
      <c r="A14" s="3" t="s">
        <v>102</v>
      </c>
      <c r="B14" s="3" t="s">
        <v>103</v>
      </c>
      <c r="C14" s="4">
        <v>31043</v>
      </c>
      <c r="D14" s="4">
        <v>0</v>
      </c>
      <c r="E14" s="4">
        <v>31043</v>
      </c>
    </row>
    <row r="15" spans="1:5" ht="32" customHeight="1">
      <c r="A15" s="3" t="s">
        <v>104</v>
      </c>
      <c r="B15" s="3" t="s">
        <v>105</v>
      </c>
      <c r="C15" s="4">
        <v>92252</v>
      </c>
      <c r="D15" s="4">
        <v>0</v>
      </c>
      <c r="E15" s="4">
        <v>92252</v>
      </c>
    </row>
    <row r="16" spans="1:5" ht="32" customHeight="1">
      <c r="A16" s="3" t="s">
        <v>106</v>
      </c>
      <c r="B16" s="3" t="s">
        <v>107</v>
      </c>
      <c r="C16" s="4">
        <v>58413</v>
      </c>
      <c r="D16" s="4">
        <v>0</v>
      </c>
      <c r="E16" s="4">
        <v>58413</v>
      </c>
    </row>
    <row r="17" spans="1:5" ht="32" customHeight="1">
      <c r="A17" s="3" t="s">
        <v>108</v>
      </c>
      <c r="B17" s="3" t="s">
        <v>109</v>
      </c>
      <c r="C17" s="4">
        <v>99419</v>
      </c>
      <c r="D17" s="4">
        <v>0</v>
      </c>
      <c r="E17" s="4">
        <v>99419</v>
      </c>
    </row>
    <row r="18" spans="1:5" ht="32" customHeight="1">
      <c r="A18" s="3" t="s">
        <v>110</v>
      </c>
      <c r="B18" s="3" t="s">
        <v>111</v>
      </c>
      <c r="C18" s="4">
        <v>96674</v>
      </c>
      <c r="D18" s="4">
        <v>0</v>
      </c>
      <c r="E18" s="4">
        <v>96674</v>
      </c>
    </row>
    <row r="19" spans="1:5" ht="32" customHeight="1">
      <c r="A19" s="3" t="s">
        <v>112</v>
      </c>
      <c r="B19" s="3" t="s">
        <v>113</v>
      </c>
      <c r="C19" s="4">
        <v>133263</v>
      </c>
      <c r="D19" s="4">
        <v>0</v>
      </c>
      <c r="E19" s="4">
        <v>133263</v>
      </c>
    </row>
    <row r="20" spans="1:5" ht="32" customHeight="1">
      <c r="A20" s="3" t="s">
        <v>114</v>
      </c>
      <c r="B20" s="3" t="s">
        <v>115</v>
      </c>
      <c r="C20" s="4">
        <v>133051</v>
      </c>
      <c r="D20" s="4">
        <v>0</v>
      </c>
      <c r="E20" s="4">
        <v>133051</v>
      </c>
    </row>
    <row r="21" spans="1:5" ht="32" customHeight="1">
      <c r="A21" s="3" t="s">
        <v>116</v>
      </c>
      <c r="B21" s="3" t="s">
        <v>117</v>
      </c>
      <c r="C21" s="4">
        <v>131204</v>
      </c>
      <c r="D21" s="4">
        <v>0</v>
      </c>
      <c r="E21" s="4">
        <v>131204</v>
      </c>
    </row>
    <row r="22" spans="1:5" ht="32" customHeight="1">
      <c r="A22" s="3" t="s">
        <v>118</v>
      </c>
      <c r="B22" s="3" t="s">
        <v>119</v>
      </c>
      <c r="C22" s="4">
        <v>127138</v>
      </c>
      <c r="D22" s="4">
        <v>0</v>
      </c>
      <c r="E22" s="4">
        <v>127138</v>
      </c>
    </row>
    <row r="23" spans="1:5" ht="32" customHeight="1">
      <c r="A23" s="3" t="s">
        <v>120</v>
      </c>
      <c r="B23" s="3" t="s">
        <v>121</v>
      </c>
      <c r="C23" s="4">
        <v>121964</v>
      </c>
      <c r="D23" s="4">
        <v>0</v>
      </c>
      <c r="E23" s="4">
        <v>121964</v>
      </c>
    </row>
    <row r="24" spans="1:5" ht="32" customHeight="1">
      <c r="A24" s="3" t="s">
        <v>122</v>
      </c>
      <c r="B24" s="3" t="s">
        <v>123</v>
      </c>
      <c r="C24" s="4">
        <v>118268</v>
      </c>
      <c r="D24" s="4">
        <v>0</v>
      </c>
      <c r="E24" s="4">
        <v>118268</v>
      </c>
    </row>
    <row r="25" spans="1:5" ht="32" customHeight="1">
      <c r="A25" s="3" t="s">
        <v>124</v>
      </c>
      <c r="B25" s="3" t="s">
        <v>125</v>
      </c>
      <c r="C25" s="4">
        <v>106153</v>
      </c>
      <c r="D25" s="4">
        <v>0</v>
      </c>
      <c r="E25" s="4">
        <v>106153</v>
      </c>
    </row>
    <row r="26" spans="1:5" ht="32" customHeight="1">
      <c r="A26" s="3" t="s">
        <v>126</v>
      </c>
      <c r="B26" s="3" t="s">
        <v>127</v>
      </c>
      <c r="C26" s="4">
        <v>120413</v>
      </c>
      <c r="D26" s="4">
        <v>0</v>
      </c>
      <c r="E26" s="4">
        <v>120413</v>
      </c>
    </row>
    <row r="27" spans="1:5" ht="32" customHeight="1">
      <c r="A27" s="3" t="s">
        <v>128</v>
      </c>
      <c r="B27" s="3" t="s">
        <v>129</v>
      </c>
      <c r="C27" s="4">
        <v>115132</v>
      </c>
      <c r="D27" s="4">
        <v>0</v>
      </c>
      <c r="E27" s="4">
        <v>115132</v>
      </c>
    </row>
    <row r="28" spans="1:5" ht="32" customHeight="1">
      <c r="A28" s="3" t="s">
        <v>130</v>
      </c>
      <c r="B28" s="3" t="s">
        <v>131</v>
      </c>
      <c r="C28" s="4">
        <v>109322</v>
      </c>
      <c r="D28" s="4">
        <v>0</v>
      </c>
      <c r="E28" s="4">
        <v>109322</v>
      </c>
    </row>
    <row r="29" spans="1:5" ht="32" customHeight="1">
      <c r="A29" s="3" t="s">
        <v>132</v>
      </c>
      <c r="B29" s="3" t="s">
        <v>133</v>
      </c>
      <c r="C29" s="4">
        <v>103513</v>
      </c>
      <c r="D29" s="4">
        <v>0</v>
      </c>
      <c r="E29" s="4">
        <v>103513</v>
      </c>
    </row>
    <row r="30" spans="1:5" ht="32" customHeight="1">
      <c r="A30" s="3" t="s">
        <v>134</v>
      </c>
      <c r="B30" s="3" t="s">
        <v>135</v>
      </c>
      <c r="C30" s="4">
        <v>179626</v>
      </c>
      <c r="D30" s="4">
        <v>0</v>
      </c>
      <c r="E30" s="4">
        <v>179626</v>
      </c>
    </row>
    <row r="31" spans="1:5" ht="32" customHeight="1">
      <c r="A31" s="3" t="s">
        <v>136</v>
      </c>
      <c r="B31" s="3" t="s">
        <v>137</v>
      </c>
      <c r="C31" s="4">
        <v>95357</v>
      </c>
      <c r="D31" s="4">
        <v>0</v>
      </c>
      <c r="E31" s="4">
        <v>95357</v>
      </c>
    </row>
    <row r="32" spans="1:5" ht="32" customHeight="1">
      <c r="A32" s="3" t="s">
        <v>138</v>
      </c>
      <c r="B32" s="3" t="s">
        <v>139</v>
      </c>
      <c r="C32" s="4">
        <v>88704</v>
      </c>
      <c r="D32" s="4">
        <v>0</v>
      </c>
      <c r="E32" s="4">
        <v>88704</v>
      </c>
    </row>
    <row r="33" spans="1:5" ht="32" customHeight="1">
      <c r="A33" s="3" t="s">
        <v>140</v>
      </c>
      <c r="B33" s="3" t="s">
        <v>141</v>
      </c>
      <c r="C33" s="4">
        <v>79833</v>
      </c>
      <c r="D33" s="4">
        <v>0</v>
      </c>
      <c r="E33" s="4">
        <v>79833</v>
      </c>
    </row>
    <row r="34" spans="1:5" ht="32" customHeight="1">
      <c r="A34" s="3" t="s">
        <v>298</v>
      </c>
      <c r="B34" s="3" t="s">
        <v>299</v>
      </c>
      <c r="C34" s="4">
        <v>0</v>
      </c>
      <c r="D34" s="4">
        <v>4590000</v>
      </c>
      <c r="E34" s="4">
        <v>-4590000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2" width="65.7109375" customWidth="1"/>
    <col min="3" max="5" width="22.7109375" customWidth="1"/>
  </cols>
  <sheetData>
    <row r="1" spans="1:5">
      <c r="A1" s="1" t="s">
        <v>398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</row>
    <row r="5" spans="1:5" ht="32" customHeight="1">
      <c r="A5" s="3" t="s">
        <v>142</v>
      </c>
      <c r="B5" s="3" t="s">
        <v>144</v>
      </c>
      <c r="C5" s="4">
        <v>0</v>
      </c>
      <c r="D5" s="4">
        <v>516154</v>
      </c>
      <c r="E5" s="4">
        <v>-516154</v>
      </c>
    </row>
    <row r="6" spans="1:5" ht="32" customHeight="1">
      <c r="A6" s="3" t="s">
        <v>145</v>
      </c>
      <c r="B6" s="3" t="s">
        <v>147</v>
      </c>
      <c r="C6" s="4">
        <v>0</v>
      </c>
      <c r="D6" s="4">
        <v>112992</v>
      </c>
      <c r="E6" s="4">
        <v>-112992</v>
      </c>
    </row>
    <row r="7" spans="1:5" ht="32" customHeight="1">
      <c r="A7" s="3" t="s">
        <v>148</v>
      </c>
      <c r="B7" s="3" t="s">
        <v>149</v>
      </c>
      <c r="C7" s="4">
        <v>0</v>
      </c>
      <c r="D7" s="4">
        <v>150487</v>
      </c>
      <c r="E7" s="4">
        <v>-150487</v>
      </c>
    </row>
    <row r="8" spans="1:5" ht="32" customHeight="1">
      <c r="A8" s="3" t="s">
        <v>150</v>
      </c>
      <c r="B8" s="3" t="s">
        <v>151</v>
      </c>
      <c r="C8" s="4">
        <v>0</v>
      </c>
      <c r="D8" s="4">
        <v>114177</v>
      </c>
      <c r="E8" s="4">
        <v>-114177</v>
      </c>
    </row>
    <row r="9" spans="1:5" ht="32" customHeight="1">
      <c r="A9" s="3" t="s">
        <v>152</v>
      </c>
      <c r="B9" s="3" t="s">
        <v>153</v>
      </c>
      <c r="C9" s="4">
        <v>0</v>
      </c>
      <c r="D9" s="4">
        <v>110192</v>
      </c>
      <c r="E9" s="4">
        <v>-110192</v>
      </c>
    </row>
    <row r="10" spans="1:5" ht="32" customHeight="1">
      <c r="A10" s="3" t="s">
        <v>154</v>
      </c>
      <c r="B10" s="3" t="s">
        <v>155</v>
      </c>
      <c r="C10" s="4">
        <v>0</v>
      </c>
      <c r="D10" s="4">
        <v>123164</v>
      </c>
      <c r="E10" s="4">
        <v>-123164</v>
      </c>
    </row>
    <row r="11" spans="1:5" ht="32" customHeight="1">
      <c r="A11" s="3" t="s">
        <v>156</v>
      </c>
      <c r="B11" s="3" t="s">
        <v>157</v>
      </c>
      <c r="C11" s="4">
        <v>0</v>
      </c>
      <c r="D11" s="4">
        <v>200784</v>
      </c>
      <c r="E11" s="4">
        <v>-200784</v>
      </c>
    </row>
    <row r="12" spans="1:5" ht="32" customHeight="1">
      <c r="A12" s="3" t="s">
        <v>158</v>
      </c>
      <c r="B12" s="3" t="s">
        <v>159</v>
      </c>
      <c r="C12" s="4">
        <v>0</v>
      </c>
      <c r="D12" s="4">
        <v>112695</v>
      </c>
      <c r="E12" s="4">
        <v>-112695</v>
      </c>
    </row>
    <row r="13" spans="1:5" ht="32" customHeight="1">
      <c r="A13" s="3" t="s">
        <v>160</v>
      </c>
      <c r="B13" s="3" t="s">
        <v>161</v>
      </c>
      <c r="C13" s="4">
        <v>0</v>
      </c>
      <c r="D13" s="4">
        <v>120358</v>
      </c>
      <c r="E13" s="4">
        <v>-120358</v>
      </c>
    </row>
    <row r="14" spans="1:5" ht="32" customHeight="1">
      <c r="A14" s="3" t="s">
        <v>162</v>
      </c>
      <c r="B14" s="3" t="s">
        <v>163</v>
      </c>
      <c r="C14" s="4">
        <v>0</v>
      </c>
      <c r="D14" s="4">
        <v>101650</v>
      </c>
      <c r="E14" s="4">
        <v>-101650</v>
      </c>
    </row>
    <row r="15" spans="1:5" ht="32" customHeight="1">
      <c r="A15" s="3" t="s">
        <v>164</v>
      </c>
      <c r="B15" s="3" t="s">
        <v>165</v>
      </c>
      <c r="C15" s="4">
        <v>0</v>
      </c>
      <c r="D15" s="4">
        <v>77962</v>
      </c>
      <c r="E15" s="4">
        <v>-77962</v>
      </c>
    </row>
    <row r="16" spans="1:5" ht="32" customHeight="1">
      <c r="A16" s="3" t="s">
        <v>166</v>
      </c>
      <c r="B16" s="3" t="s">
        <v>167</v>
      </c>
      <c r="C16" s="4">
        <v>0</v>
      </c>
      <c r="D16" s="4">
        <v>73939</v>
      </c>
      <c r="E16" s="4">
        <v>-73939</v>
      </c>
    </row>
    <row r="17" spans="1:5" ht="32" customHeight="1">
      <c r="A17" s="3" t="s">
        <v>168</v>
      </c>
      <c r="B17" s="3" t="s">
        <v>169</v>
      </c>
      <c r="C17" s="4">
        <v>0</v>
      </c>
      <c r="D17" s="4">
        <v>194118</v>
      </c>
      <c r="E17" s="4">
        <v>-194118</v>
      </c>
    </row>
    <row r="18" spans="1:5" ht="32" customHeight="1">
      <c r="A18" s="3" t="s">
        <v>170</v>
      </c>
      <c r="B18" s="3" t="s">
        <v>171</v>
      </c>
      <c r="C18" s="4">
        <v>0</v>
      </c>
      <c r="D18" s="4">
        <v>93532</v>
      </c>
      <c r="E18" s="4">
        <v>-93532</v>
      </c>
    </row>
    <row r="19" spans="1:5" ht="32" customHeight="1">
      <c r="A19" s="3" t="s">
        <v>172</v>
      </c>
      <c r="B19" s="3" t="s">
        <v>173</v>
      </c>
      <c r="C19" s="4">
        <v>0</v>
      </c>
      <c r="D19" s="4">
        <v>71343</v>
      </c>
      <c r="E19" s="4">
        <v>-71343</v>
      </c>
    </row>
    <row r="20" spans="1:5" ht="32" customHeight="1">
      <c r="A20" s="3" t="s">
        <v>174</v>
      </c>
      <c r="B20" s="3" t="s">
        <v>175</v>
      </c>
      <c r="C20" s="4">
        <v>0</v>
      </c>
      <c r="D20" s="4">
        <v>60248</v>
      </c>
      <c r="E20" s="4">
        <v>-60248</v>
      </c>
    </row>
    <row r="21" spans="1:5" ht="32" customHeight="1">
      <c r="A21" s="3" t="s">
        <v>176</v>
      </c>
      <c r="B21" s="3" t="s">
        <v>177</v>
      </c>
      <c r="C21" s="4">
        <v>0</v>
      </c>
      <c r="D21" s="4">
        <v>30805</v>
      </c>
      <c r="E21" s="4">
        <v>-30805</v>
      </c>
    </row>
    <row r="22" spans="1:5" ht="32" customHeight="1">
      <c r="A22" s="3" t="s">
        <v>178</v>
      </c>
      <c r="B22" s="3" t="s">
        <v>179</v>
      </c>
      <c r="C22" s="4">
        <v>0</v>
      </c>
      <c r="D22" s="4">
        <v>29217</v>
      </c>
      <c r="E22" s="4">
        <v>-29217</v>
      </c>
    </row>
    <row r="23" spans="1:5" ht="32" customHeight="1">
      <c r="A23" s="3" t="s">
        <v>180</v>
      </c>
      <c r="B23" s="3" t="s">
        <v>181</v>
      </c>
      <c r="C23" s="4">
        <v>0</v>
      </c>
      <c r="D23" s="4">
        <v>92175</v>
      </c>
      <c r="E23" s="4">
        <v>-92175</v>
      </c>
    </row>
    <row r="24" spans="1:5" ht="32" customHeight="1">
      <c r="A24" s="3" t="s">
        <v>182</v>
      </c>
      <c r="B24" s="3" t="s">
        <v>183</v>
      </c>
      <c r="C24" s="4">
        <v>0</v>
      </c>
      <c r="D24" s="4">
        <v>53070</v>
      </c>
      <c r="E24" s="4">
        <v>-53070</v>
      </c>
    </row>
    <row r="25" spans="1:5" ht="32" customHeight="1">
      <c r="A25" s="3" t="s">
        <v>184</v>
      </c>
      <c r="B25" s="3" t="s">
        <v>185</v>
      </c>
      <c r="C25" s="4">
        <v>0</v>
      </c>
      <c r="D25" s="4">
        <v>32387</v>
      </c>
      <c r="E25" s="4">
        <v>-32387</v>
      </c>
    </row>
    <row r="26" spans="1:5" ht="32" customHeight="1">
      <c r="A26" s="3" t="s">
        <v>186</v>
      </c>
      <c r="B26" s="3" t="s">
        <v>187</v>
      </c>
      <c r="C26" s="4">
        <v>0</v>
      </c>
      <c r="D26" s="4">
        <v>25644</v>
      </c>
      <c r="E26" s="4">
        <v>-25644</v>
      </c>
    </row>
    <row r="27" spans="1:5" ht="32" customHeight="1">
      <c r="A27" s="3" t="s">
        <v>188</v>
      </c>
      <c r="B27" s="3" t="s">
        <v>189</v>
      </c>
      <c r="C27" s="4">
        <v>0</v>
      </c>
      <c r="D27" s="4">
        <v>26223</v>
      </c>
      <c r="E27" s="4">
        <v>-26223</v>
      </c>
    </row>
    <row r="28" spans="1:5" ht="32" customHeight="1">
      <c r="A28" s="3" t="s">
        <v>190</v>
      </c>
      <c r="B28" s="3" t="s">
        <v>191</v>
      </c>
      <c r="C28" s="4">
        <v>0</v>
      </c>
      <c r="D28" s="4">
        <v>24870</v>
      </c>
      <c r="E28" s="4">
        <v>-24870</v>
      </c>
    </row>
    <row r="29" spans="1:5" ht="32" customHeight="1">
      <c r="A29" s="3" t="s">
        <v>192</v>
      </c>
      <c r="B29" s="3" t="s">
        <v>193</v>
      </c>
      <c r="C29" s="4">
        <v>0</v>
      </c>
      <c r="D29" s="4">
        <v>144008</v>
      </c>
      <c r="E29" s="4">
        <v>-144008</v>
      </c>
    </row>
    <row r="30" spans="1:5" ht="32" customHeight="1">
      <c r="A30" s="3" t="s">
        <v>194</v>
      </c>
      <c r="B30" s="3" t="s">
        <v>195</v>
      </c>
      <c r="C30" s="4">
        <v>0</v>
      </c>
      <c r="D30" s="4">
        <v>12181</v>
      </c>
      <c r="E30" s="4">
        <v>-12181</v>
      </c>
    </row>
    <row r="31" spans="1:5" ht="32" customHeight="1">
      <c r="A31" s="3" t="s">
        <v>196</v>
      </c>
      <c r="B31" s="3" t="s">
        <v>197</v>
      </c>
      <c r="C31" s="4">
        <v>0</v>
      </c>
      <c r="D31" s="4">
        <v>12181</v>
      </c>
      <c r="E31" s="4">
        <v>-12181</v>
      </c>
    </row>
    <row r="32" spans="1:5" ht="32" customHeight="1">
      <c r="A32" s="3" t="s">
        <v>198</v>
      </c>
      <c r="B32" s="3" t="s">
        <v>199</v>
      </c>
      <c r="C32" s="4">
        <v>0</v>
      </c>
      <c r="D32" s="4">
        <v>9745</v>
      </c>
      <c r="E32" s="4">
        <v>-9745</v>
      </c>
    </row>
    <row r="33" spans="1:5" ht="32" customHeight="1">
      <c r="A33" s="3" t="s">
        <v>200</v>
      </c>
      <c r="B33" s="3" t="s">
        <v>201</v>
      </c>
      <c r="C33" s="4">
        <v>0</v>
      </c>
      <c r="D33" s="4">
        <v>9745</v>
      </c>
      <c r="E33" s="4">
        <v>-9745</v>
      </c>
    </row>
    <row r="34" spans="1:5" ht="32" customHeight="1">
      <c r="A34" s="3" t="s">
        <v>202</v>
      </c>
      <c r="B34" s="3" t="s">
        <v>203</v>
      </c>
      <c r="C34" s="4">
        <v>0</v>
      </c>
      <c r="D34" s="4">
        <v>4872</v>
      </c>
      <c r="E34" s="4">
        <v>-4872</v>
      </c>
    </row>
    <row r="35" spans="1:5" ht="32" customHeight="1">
      <c r="A35" s="3" t="s">
        <v>207</v>
      </c>
      <c r="B35" s="3" t="s">
        <v>208</v>
      </c>
      <c r="C35" s="4">
        <v>0</v>
      </c>
      <c r="D35" s="4">
        <v>13905</v>
      </c>
      <c r="E35" s="4">
        <v>-13905</v>
      </c>
    </row>
    <row r="36" spans="1:5" ht="32" customHeight="1">
      <c r="A36" s="3" t="s">
        <v>212</v>
      </c>
      <c r="B36" s="3" t="s">
        <v>214</v>
      </c>
      <c r="C36" s="4">
        <v>0</v>
      </c>
      <c r="D36" s="4">
        <v>1689</v>
      </c>
      <c r="E36" s="4">
        <v>-1689</v>
      </c>
    </row>
    <row r="37" spans="1:5" ht="32" customHeight="1">
      <c r="A37" s="3" t="s">
        <v>217</v>
      </c>
      <c r="B37" s="3" t="s">
        <v>218</v>
      </c>
      <c r="C37" s="4">
        <v>0</v>
      </c>
      <c r="D37" s="4">
        <v>1607</v>
      </c>
      <c r="E37" s="4">
        <v>-1607</v>
      </c>
    </row>
    <row r="38" spans="1:5" ht="32" customHeight="1">
      <c r="A38" s="3" t="s">
        <v>221</v>
      </c>
      <c r="B38" s="3" t="s">
        <v>222</v>
      </c>
      <c r="C38" s="4">
        <v>0</v>
      </c>
      <c r="D38" s="4">
        <v>3790</v>
      </c>
      <c r="E38" s="4">
        <v>-3790</v>
      </c>
    </row>
    <row r="39" spans="1:5" ht="32" customHeight="1">
      <c r="A39" s="3" t="s">
        <v>225</v>
      </c>
      <c r="B39" s="3" t="s">
        <v>226</v>
      </c>
      <c r="C39" s="4">
        <v>0</v>
      </c>
      <c r="D39" s="4">
        <v>1854</v>
      </c>
      <c r="E39" s="4">
        <v>-1854</v>
      </c>
    </row>
    <row r="40" spans="1:5" ht="32" customHeight="1">
      <c r="A40" s="3" t="s">
        <v>229</v>
      </c>
      <c r="B40" s="3" t="s">
        <v>230</v>
      </c>
      <c r="C40" s="4">
        <v>0</v>
      </c>
      <c r="D40" s="4">
        <v>1185</v>
      </c>
      <c r="E40" s="4">
        <v>-1185</v>
      </c>
    </row>
    <row r="41" spans="1:5" ht="32" customHeight="1">
      <c r="A41" s="3" t="s">
        <v>233</v>
      </c>
      <c r="B41" s="3" t="s">
        <v>234</v>
      </c>
      <c r="C41" s="4">
        <v>0</v>
      </c>
      <c r="D41" s="4">
        <v>3914</v>
      </c>
      <c r="E41" s="4">
        <v>-3914</v>
      </c>
    </row>
    <row r="42" spans="1:5" ht="32" customHeight="1">
      <c r="A42" s="3" t="s">
        <v>237</v>
      </c>
      <c r="B42" s="3" t="s">
        <v>238</v>
      </c>
      <c r="C42" s="4">
        <v>0</v>
      </c>
      <c r="D42" s="4">
        <v>371</v>
      </c>
      <c r="E42" s="4">
        <v>-371</v>
      </c>
    </row>
    <row r="43" spans="1:5" ht="32" customHeight="1">
      <c r="A43" s="3" t="s">
        <v>241</v>
      </c>
      <c r="B43" s="3" t="s">
        <v>242</v>
      </c>
      <c r="C43" s="4">
        <v>0</v>
      </c>
      <c r="D43" s="4">
        <v>258</v>
      </c>
      <c r="E43" s="4">
        <v>-258</v>
      </c>
    </row>
    <row r="44" spans="1:5" ht="32" customHeight="1">
      <c r="A44" s="3" t="s">
        <v>245</v>
      </c>
      <c r="B44" s="3" t="s">
        <v>246</v>
      </c>
      <c r="C44" s="4">
        <v>0</v>
      </c>
      <c r="D44" s="4">
        <v>824</v>
      </c>
      <c r="E44" s="4">
        <v>-824</v>
      </c>
    </row>
    <row r="45" spans="1:5" ht="32" customHeight="1">
      <c r="A45" s="3" t="s">
        <v>249</v>
      </c>
      <c r="B45" s="3" t="s">
        <v>250</v>
      </c>
      <c r="C45" s="4">
        <v>0</v>
      </c>
      <c r="D45" s="4">
        <v>886</v>
      </c>
      <c r="E45" s="4">
        <v>-886</v>
      </c>
    </row>
    <row r="46" spans="1:5" ht="32" customHeight="1">
      <c r="A46" s="3" t="s">
        <v>253</v>
      </c>
      <c r="B46" s="3" t="s">
        <v>254</v>
      </c>
      <c r="C46" s="4">
        <v>0</v>
      </c>
      <c r="D46" s="4">
        <v>762</v>
      </c>
      <c r="E46" s="4">
        <v>-762</v>
      </c>
    </row>
    <row r="47" spans="1:5" ht="32" customHeight="1">
      <c r="A47" s="3" t="s">
        <v>257</v>
      </c>
      <c r="B47" s="3" t="s">
        <v>258</v>
      </c>
      <c r="C47" s="4">
        <v>0</v>
      </c>
      <c r="D47" s="4">
        <v>1545</v>
      </c>
      <c r="E47" s="4">
        <v>-1545</v>
      </c>
    </row>
    <row r="48" spans="1:5" ht="32" customHeight="1">
      <c r="A48" s="3" t="s">
        <v>261</v>
      </c>
      <c r="B48" s="3" t="s">
        <v>262</v>
      </c>
      <c r="C48" s="4">
        <v>0</v>
      </c>
      <c r="D48" s="4">
        <v>309</v>
      </c>
      <c r="E48" s="4">
        <v>-309</v>
      </c>
    </row>
    <row r="49" spans="1:5" ht="32" customHeight="1">
      <c r="A49" s="3" t="s">
        <v>265</v>
      </c>
      <c r="B49" s="3" t="s">
        <v>266</v>
      </c>
      <c r="C49" s="4">
        <v>0</v>
      </c>
      <c r="D49" s="4">
        <v>299</v>
      </c>
      <c r="E49" s="4">
        <v>-299</v>
      </c>
    </row>
    <row r="50" spans="1:5" ht="32" customHeight="1">
      <c r="A50" s="3" t="s">
        <v>269</v>
      </c>
      <c r="B50" s="3" t="s">
        <v>270</v>
      </c>
      <c r="C50" s="4">
        <v>0</v>
      </c>
      <c r="D50" s="4">
        <v>453</v>
      </c>
      <c r="E50" s="4">
        <v>-453</v>
      </c>
    </row>
    <row r="51" spans="1:5" ht="32" customHeight="1">
      <c r="A51" s="3" t="s">
        <v>271</v>
      </c>
      <c r="B51" s="3" t="s">
        <v>272</v>
      </c>
      <c r="C51" s="4">
        <v>0</v>
      </c>
      <c r="D51" s="4">
        <v>1030</v>
      </c>
      <c r="E51" s="4">
        <v>-1030</v>
      </c>
    </row>
    <row r="52" spans="1:5" ht="32" customHeight="1">
      <c r="A52" s="3" t="s">
        <v>273</v>
      </c>
      <c r="B52" s="3" t="s">
        <v>274</v>
      </c>
      <c r="C52" s="4">
        <v>0</v>
      </c>
      <c r="D52" s="4">
        <v>2060</v>
      </c>
      <c r="E52" s="4">
        <v>-2060</v>
      </c>
    </row>
    <row r="53" spans="1:5" ht="32" customHeight="1">
      <c r="A53" s="3" t="s">
        <v>275</v>
      </c>
      <c r="B53" s="3" t="s">
        <v>276</v>
      </c>
      <c r="C53" s="4">
        <v>0</v>
      </c>
      <c r="D53" s="4">
        <v>1030</v>
      </c>
      <c r="E53" s="4">
        <v>-1030</v>
      </c>
    </row>
    <row r="54" spans="1:5" ht="32" customHeight="1">
      <c r="A54" s="3" t="s">
        <v>312</v>
      </c>
      <c r="B54" s="3" t="s">
        <v>193</v>
      </c>
      <c r="C54" s="4">
        <v>144008</v>
      </c>
      <c r="D54" s="4">
        <v>0</v>
      </c>
      <c r="E54" s="4">
        <v>144008</v>
      </c>
    </row>
    <row r="55" spans="1:5" ht="32" customHeight="1">
      <c r="A55" s="3" t="s">
        <v>313</v>
      </c>
      <c r="B55" s="3" t="s">
        <v>144</v>
      </c>
      <c r="C55" s="4">
        <v>516154</v>
      </c>
      <c r="D55" s="4">
        <v>0</v>
      </c>
      <c r="E55" s="4">
        <v>516154</v>
      </c>
    </row>
    <row r="56" spans="1:5" ht="32" customHeight="1">
      <c r="A56" s="3" t="s">
        <v>314</v>
      </c>
      <c r="B56" s="3" t="s">
        <v>157</v>
      </c>
      <c r="C56" s="4">
        <v>200784</v>
      </c>
      <c r="D56" s="4">
        <v>0</v>
      </c>
      <c r="E56" s="4">
        <v>200784</v>
      </c>
    </row>
    <row r="57" spans="1:5" ht="32" customHeight="1">
      <c r="A57" s="3" t="s">
        <v>315</v>
      </c>
      <c r="B57" s="3" t="s">
        <v>169</v>
      </c>
      <c r="C57" s="4">
        <v>194118</v>
      </c>
      <c r="D57" s="4">
        <v>0</v>
      </c>
      <c r="E57" s="4">
        <v>194118</v>
      </c>
    </row>
    <row r="58" spans="1:5" ht="32" customHeight="1">
      <c r="A58" s="3" t="s">
        <v>316</v>
      </c>
      <c r="B58" s="3" t="s">
        <v>181</v>
      </c>
      <c r="C58" s="4">
        <v>92175</v>
      </c>
      <c r="D58" s="4">
        <v>0</v>
      </c>
      <c r="E58" s="4">
        <v>92175</v>
      </c>
    </row>
    <row r="59" spans="1:5" ht="32" customHeight="1">
      <c r="A59" s="3" t="s">
        <v>323</v>
      </c>
      <c r="B59" s="3" t="s">
        <v>214</v>
      </c>
      <c r="C59" s="4">
        <v>1689</v>
      </c>
      <c r="D59" s="4">
        <v>0</v>
      </c>
      <c r="E59" s="4">
        <v>1689</v>
      </c>
    </row>
    <row r="60" spans="1:5" ht="32" customHeight="1">
      <c r="A60" s="3" t="s">
        <v>324</v>
      </c>
      <c r="B60" s="3" t="s">
        <v>218</v>
      </c>
      <c r="C60" s="4">
        <v>1607</v>
      </c>
      <c r="D60" s="4">
        <v>0</v>
      </c>
      <c r="E60" s="4">
        <v>1607</v>
      </c>
    </row>
    <row r="61" spans="1:5" ht="32" customHeight="1">
      <c r="A61" s="3" t="s">
        <v>325</v>
      </c>
      <c r="B61" s="3" t="s">
        <v>222</v>
      </c>
      <c r="C61" s="4">
        <v>3790</v>
      </c>
      <c r="D61" s="4">
        <v>0</v>
      </c>
      <c r="E61" s="4">
        <v>3790</v>
      </c>
    </row>
    <row r="62" spans="1:5" ht="32" customHeight="1">
      <c r="A62" s="3" t="s">
        <v>326</v>
      </c>
      <c r="B62" s="3" t="s">
        <v>226</v>
      </c>
      <c r="C62" s="4">
        <v>1854</v>
      </c>
      <c r="D62" s="4">
        <v>0</v>
      </c>
      <c r="E62" s="4">
        <v>1854</v>
      </c>
    </row>
    <row r="63" spans="1:5" ht="32" customHeight="1">
      <c r="A63" s="3" t="s">
        <v>327</v>
      </c>
      <c r="B63" s="3" t="s">
        <v>230</v>
      </c>
      <c r="C63" s="4">
        <v>1185</v>
      </c>
      <c r="D63" s="4">
        <v>0</v>
      </c>
      <c r="E63" s="4">
        <v>1185</v>
      </c>
    </row>
    <row r="64" spans="1:5" ht="32" customHeight="1">
      <c r="A64" s="3" t="s">
        <v>328</v>
      </c>
      <c r="B64" s="3" t="s">
        <v>234</v>
      </c>
      <c r="C64" s="4">
        <v>3914</v>
      </c>
      <c r="D64" s="4">
        <v>0</v>
      </c>
      <c r="E64" s="4">
        <v>3914</v>
      </c>
    </row>
    <row r="65" spans="1:5" ht="32" customHeight="1">
      <c r="A65" s="3" t="s">
        <v>329</v>
      </c>
      <c r="B65" s="3" t="s">
        <v>238</v>
      </c>
      <c r="C65" s="4">
        <v>371</v>
      </c>
      <c r="D65" s="4">
        <v>0</v>
      </c>
      <c r="E65" s="4">
        <v>371</v>
      </c>
    </row>
    <row r="66" spans="1:5" ht="32" customHeight="1">
      <c r="A66" s="3" t="s">
        <v>330</v>
      </c>
      <c r="B66" s="3" t="s">
        <v>242</v>
      </c>
      <c r="C66" s="4">
        <v>258</v>
      </c>
      <c r="D66" s="4">
        <v>0</v>
      </c>
      <c r="E66" s="4">
        <v>258</v>
      </c>
    </row>
    <row r="67" spans="1:5" ht="32" customHeight="1">
      <c r="A67" s="3" t="s">
        <v>331</v>
      </c>
      <c r="B67" s="3" t="s">
        <v>246</v>
      </c>
      <c r="C67" s="4">
        <v>824</v>
      </c>
      <c r="D67" s="4">
        <v>0</v>
      </c>
      <c r="E67" s="4">
        <v>824</v>
      </c>
    </row>
    <row r="68" spans="1:5" ht="32" customHeight="1">
      <c r="A68" s="3" t="s">
        <v>332</v>
      </c>
      <c r="B68" s="3" t="s">
        <v>262</v>
      </c>
      <c r="C68" s="4">
        <v>309</v>
      </c>
      <c r="D68" s="4">
        <v>0</v>
      </c>
      <c r="E68" s="4">
        <v>309</v>
      </c>
    </row>
    <row r="69" spans="1:5" ht="32" customHeight="1">
      <c r="A69" s="3" t="s">
        <v>333</v>
      </c>
      <c r="B69" s="3" t="s">
        <v>266</v>
      </c>
      <c r="C69" s="4">
        <v>299</v>
      </c>
      <c r="D69" s="4">
        <v>0</v>
      </c>
      <c r="E69" s="4">
        <v>299</v>
      </c>
    </row>
    <row r="70" spans="1:5" ht="32" customHeight="1">
      <c r="A70" s="3" t="s">
        <v>334</v>
      </c>
      <c r="B70" s="3" t="s">
        <v>270</v>
      </c>
      <c r="C70" s="4">
        <v>453</v>
      </c>
      <c r="D70" s="4">
        <v>0</v>
      </c>
      <c r="E70" s="4">
        <v>453</v>
      </c>
    </row>
    <row r="71" spans="1:5" ht="32" customHeight="1">
      <c r="A71" s="3" t="s">
        <v>335</v>
      </c>
      <c r="B71" s="3" t="s">
        <v>250</v>
      </c>
      <c r="C71" s="4">
        <v>886</v>
      </c>
      <c r="D71" s="4">
        <v>0</v>
      </c>
      <c r="E71" s="4">
        <v>886</v>
      </c>
    </row>
    <row r="72" spans="1:5" ht="32" customHeight="1">
      <c r="A72" s="3" t="s">
        <v>336</v>
      </c>
      <c r="B72" s="3" t="s">
        <v>254</v>
      </c>
      <c r="C72" s="4">
        <v>762</v>
      </c>
      <c r="D72" s="4">
        <v>0</v>
      </c>
      <c r="E72" s="4">
        <v>762</v>
      </c>
    </row>
    <row r="73" spans="1:5" ht="32" customHeight="1">
      <c r="A73" s="3" t="s">
        <v>337</v>
      </c>
      <c r="B73" s="3" t="s">
        <v>258</v>
      </c>
      <c r="C73" s="4">
        <v>1545</v>
      </c>
      <c r="D73" s="4">
        <v>0</v>
      </c>
      <c r="E73" s="4">
        <v>1545</v>
      </c>
    </row>
    <row r="74" spans="1:5" ht="32" customHeight="1">
      <c r="A74" s="3" t="s">
        <v>338</v>
      </c>
      <c r="B74" s="3" t="s">
        <v>272</v>
      </c>
      <c r="C74" s="4">
        <v>1030</v>
      </c>
      <c r="D74" s="4">
        <v>0</v>
      </c>
      <c r="E74" s="4">
        <v>1030</v>
      </c>
    </row>
    <row r="75" spans="1:5" ht="32" customHeight="1">
      <c r="A75" s="3" t="s">
        <v>339</v>
      </c>
      <c r="B75" s="3" t="s">
        <v>274</v>
      </c>
      <c r="C75" s="4">
        <v>2060</v>
      </c>
      <c r="D75" s="4">
        <v>0</v>
      </c>
      <c r="E75" s="4">
        <v>2060</v>
      </c>
    </row>
    <row r="76" spans="1:5" ht="32" customHeight="1">
      <c r="A76" s="3" t="s">
        <v>340</v>
      </c>
      <c r="B76" s="3" t="s">
        <v>276</v>
      </c>
      <c r="C76" s="4">
        <v>1030</v>
      </c>
      <c r="D76" s="4">
        <v>0</v>
      </c>
      <c r="E76" s="4">
        <v>1030</v>
      </c>
    </row>
    <row r="77" spans="1:5" ht="32" customHeight="1">
      <c r="A77" s="3" t="s">
        <v>341</v>
      </c>
      <c r="B77" s="3" t="s">
        <v>342</v>
      </c>
      <c r="C77" s="4">
        <v>3090000</v>
      </c>
      <c r="D77" s="4">
        <v>0</v>
      </c>
      <c r="E77" s="4">
        <v>3090000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4" width="22.7109375" customWidth="1"/>
    <col min="5" max="5" width="63.7109375" customWidth="1"/>
  </cols>
  <sheetData>
    <row r="1" spans="1:5">
      <c r="A1" s="1" t="s">
        <v>399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400</v>
      </c>
      <c r="B4" s="2" t="s">
        <v>401</v>
      </c>
      <c r="C4" s="2" t="s">
        <v>402</v>
      </c>
      <c r="D4" s="2" t="s">
        <v>403</v>
      </c>
      <c r="E4" s="2" t="s">
        <v>404</v>
      </c>
    </row>
    <row r="5" spans="1:5" ht="32" customHeight="1">
      <c r="A5" s="3" t="s">
        <v>405</v>
      </c>
      <c r="B5" s="4">
        <f>'Bank inputs'!B11</f>
        <v>3494528.0</v>
      </c>
      <c r="C5" s="4">
        <v>3494528</v>
      </c>
      <c r="D5" s="4">
        <f>B5-C5</f>
        <v>0.0</v>
      </c>
      <c r="E5" s="3" t="s">
        <v>406</v>
      </c>
    </row>
    <row r="6" spans="1:5" ht="32" customHeight="1">
      <c r="A6" s="3" t="s">
        <v>407</v>
      </c>
      <c r="B6" s="4">
        <f>'Bank inputs'!B8+'Bank inputs'!B9-'Bank inputs'!B10</f>
        <v>3494528.0</v>
      </c>
      <c r="C6" s="4">
        <v>3494528</v>
      </c>
      <c r="D6" s="4">
        <f>B6-C6</f>
        <v>0.0</v>
      </c>
      <c r="E6" s="3" t="s">
        <v>408</v>
      </c>
    </row>
    <row r="7" spans="1:5" ht="32" customHeight="1">
      <c r="A7" s="3" t="s">
        <v>409</v>
      </c>
      <c r="B7" s="4">
        <f>SUM('Bank events'!E5:E37)</f>
        <v>-703912.0</v>
      </c>
      <c r="C7" s="4">
        <v>-703912</v>
      </c>
      <c r="D7" s="4">
        <f>B7-C7</f>
        <v>0.0</v>
      </c>
      <c r="E7" s="3" t="s">
        <v>410</v>
      </c>
    </row>
    <row r="8" spans="1:5" ht="32" customHeight="1">
      <c r="A8" s="3" t="s">
        <v>411</v>
      </c>
      <c r="B8" s="4">
        <f>SUMIF(Opening!A5:A26,"1100",Opening!C5:C26)+SUM(Receivables!E5:E34)</f>
        <v>4668132.0</v>
      </c>
      <c r="C8" s="4">
        <v>4668132</v>
      </c>
      <c r="D8" s="4">
        <f>B8-C8</f>
        <v>0.0</v>
      </c>
      <c r="E8" s="3" t="s">
        <v>412</v>
      </c>
    </row>
    <row r="9" spans="1:5" ht="32" customHeight="1">
      <c r="A9" s="3" t="s">
        <v>413</v>
      </c>
      <c r="B9" s="4">
        <f>SUMIF(Opening!A5:A26,"2000",Opening!C5:C26)+SUM(Payables!E5:E77)</f>
        <v>-1607584.0</v>
      </c>
      <c r="C9" s="4">
        <v>-1607584</v>
      </c>
      <c r="D9" s="4">
        <f>B9-C9</f>
        <v>0.0</v>
      </c>
      <c r="E9" s="3" t="s">
        <v>412</v>
      </c>
    </row>
    <row r="10" spans="1:5" ht="32" customHeight="1">
      <c r="A10" s="3" t="s">
        <v>414</v>
      </c>
      <c r="B10" s="4">
        <f>Debt!B5+Debt!C5-Debt!D5</f>
        <v>21000000.0</v>
      </c>
      <c r="C10" s="4">
        <v>21000000</v>
      </c>
      <c r="D10" s="4">
        <f>B10-C10</f>
        <v>0.0</v>
      </c>
      <c r="E10" s="3" t="s">
        <v>415</v>
      </c>
    </row>
    <row r="11" spans="1:5" ht="32" customHeight="1">
      <c r="A11" s="3" t="s">
        <v>416</v>
      </c>
      <c r="B11" s="4">
        <f>Debt!B6+Debt!C6-Debt!D6</f>
        <v>0.0</v>
      </c>
      <c r="C11" s="4">
        <v>0</v>
      </c>
      <c r="D11" s="4">
        <f>B11-C11</f>
        <v>0.0</v>
      </c>
      <c r="E11" s="3" t="s">
        <v>415</v>
      </c>
    </row>
    <row r="12" spans="1:5" ht="32" customHeight="1">
      <c r="A12" s="3" t="s">
        <v>417</v>
      </c>
      <c r="B12" s="4">
        <f>Debt!B7+Debt!C7-Debt!D7</f>
        <v>1966552.0</v>
      </c>
      <c r="C12" s="4">
        <v>1966552</v>
      </c>
      <c r="D12" s="4">
        <f>B12-C12</f>
        <v>0.0</v>
      </c>
      <c r="E12" s="3" t="s">
        <v>415</v>
      </c>
    </row>
    <row r="13" spans="1:5" ht="32" customHeight="1">
      <c r="A13" s="3" t="s">
        <v>418</v>
      </c>
      <c r="B13" s="4">
        <f>SUM('PPE detail'!B5:B12)</f>
        <v>61833250.0</v>
      </c>
      <c r="C13" s="4">
        <v>61833250</v>
      </c>
      <c r="D13" s="4">
        <f>B13-C13</f>
        <v>0.0</v>
      </c>
      <c r="E13" s="3" t="s">
        <v>419</v>
      </c>
    </row>
    <row r="14" spans="1:5" ht="32" customHeight="1">
      <c r="A14" s="3" t="s">
        <v>420</v>
      </c>
      <c r="B14" s="4">
        <f>SUM('PPE detail'!C5:C12)</f>
        <v>2969579.0</v>
      </c>
      <c r="C14" s="4">
        <v>2969579</v>
      </c>
      <c r="D14" s="4">
        <f>B14-C14</f>
        <v>0.0</v>
      </c>
      <c r="E14" s="3" t="s">
        <v>421</v>
      </c>
    </row>
    <row r="15" spans="1:5" ht="32" customHeight="1">
      <c r="A15" s="3" t="s">
        <v>422</v>
      </c>
      <c r="B15" s="4">
        <f>SUM(PPE!B5:C12)-SUM(PPE!D5:D12)</f>
        <v>58863671.0</v>
      </c>
      <c r="C15" s="4">
        <v>58863671</v>
      </c>
      <c r="D15" s="4">
        <f>B15-C15</f>
        <v>0.0</v>
      </c>
      <c r="E15" s="3" t="s">
        <v>423</v>
      </c>
    </row>
    <row r="16" spans="1:5" ht="32" customHeight="1">
      <c r="A16" s="3" t="s">
        <v>424</v>
      </c>
      <c r="B16" s="4">
        <f>Statements!B5</f>
        <v>86966303.0</v>
      </c>
      <c r="C16" s="4">
        <v>86966303</v>
      </c>
      <c r="D16" s="4">
        <f>B16-C16</f>
        <v>0.0</v>
      </c>
      <c r="E16" s="3" t="s">
        <v>425</v>
      </c>
    </row>
    <row r="17" spans="1:5" ht="32" customHeight="1">
      <c r="A17" s="3" t="s">
        <v>426</v>
      </c>
      <c r="B17" s="4">
        <f>Statements!B6</f>
        <v>27952890.0</v>
      </c>
      <c r="C17" s="4">
        <v>27952890</v>
      </c>
      <c r="D17" s="4">
        <f>B17-C17</f>
        <v>0.0</v>
      </c>
      <c r="E17" s="3" t="s">
        <v>425</v>
      </c>
    </row>
    <row r="18" spans="1:5" ht="32" customHeight="1">
      <c r="A18" s="3" t="s">
        <v>427</v>
      </c>
      <c r="B18" s="4">
        <f>Statements!B7</f>
        <v>-82694.0</v>
      </c>
      <c r="C18" s="4">
        <v>-82694</v>
      </c>
      <c r="D18" s="4">
        <f>B18-C18</f>
        <v>0.0</v>
      </c>
      <c r="E18" s="3" t="s">
        <v>428</v>
      </c>
    </row>
    <row r="19" spans="1:5" ht="32" customHeight="1">
      <c r="A19" s="3" t="s">
        <v>429</v>
      </c>
      <c r="B19" s="4">
        <f>Statements!B8</f>
        <v>59013413.0</v>
      </c>
      <c r="C19" s="4">
        <v>59013413</v>
      </c>
      <c r="D19" s="4">
        <f>B19-C19</f>
        <v>0.0</v>
      </c>
      <c r="E19" s="3" t="s">
        <v>430</v>
      </c>
    </row>
    <row r="20" spans="1:5" ht="32" customHeight="1">
      <c r="A20" s="3" t="s">
        <v>431</v>
      </c>
      <c r="B20" s="4">
        <f>Statements!B11</f>
        <v>-3995.0</v>
      </c>
      <c r="C20" s="4">
        <v>-3995</v>
      </c>
      <c r="D20" s="4">
        <f>B20-C20</f>
        <v>0.0</v>
      </c>
      <c r="E20" s="3" t="s">
        <v>432</v>
      </c>
    </row>
    <row r="21" spans="1:5" ht="32" customHeight="1">
      <c r="A21" s="3" t="s">
        <v>433</v>
      </c>
      <c r="B21" s="4">
        <f>Statements!B12</f>
        <v>-283250.0</v>
      </c>
      <c r="C21" s="4">
        <v>-283250</v>
      </c>
      <c r="D21" s="4">
        <f>B21-C21</f>
        <v>0.0</v>
      </c>
      <c r="E21" s="3" t="s">
        <v>432</v>
      </c>
    </row>
    <row r="22" spans="1:5" ht="32" customHeight="1">
      <c r="A22" s="3" t="s">
        <v>434</v>
      </c>
      <c r="B22" s="4">
        <f>Statements!B13</f>
        <v>-416667.0</v>
      </c>
      <c r="C22" s="4">
        <v>-416667</v>
      </c>
      <c r="D22" s="4">
        <f>B22-C22</f>
        <v>0.0</v>
      </c>
      <c r="E22" s="3" t="s">
        <v>432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22.7109375" customWidth="1"/>
    <col min="3" max="3" width="20.7109375" customWidth="1"/>
    <col min="4" max="5" width="24.7109375" customWidth="1"/>
    <col min="6" max="6" width="26.7109375" customWidth="1"/>
  </cols>
  <sheetData>
    <row r="1" spans="1:6">
      <c r="A1" s="1" t="s">
        <v>435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 ht="32" customHeight="1">
      <c r="A4" s="2" t="s">
        <v>436</v>
      </c>
      <c r="B4" s="2" t="s">
        <v>30</v>
      </c>
      <c r="C4" s="2" t="s">
        <v>437</v>
      </c>
      <c r="D4" s="2" t="s">
        <v>438</v>
      </c>
      <c r="E4" s="2" t="s">
        <v>439</v>
      </c>
      <c r="F4" s="2" t="s">
        <v>440</v>
      </c>
    </row>
    <row r="5" spans="1:6" ht="32" customHeight="1">
      <c r="A5" s="3" t="s">
        <v>441</v>
      </c>
      <c r="B5" s="4">
        <v>21375000</v>
      </c>
      <c r="C5" s="4">
        <v>0</v>
      </c>
      <c r="D5" s="4">
        <v>375000</v>
      </c>
      <c r="E5" s="4">
        <v>21000000</v>
      </c>
      <c r="F5" s="4">
        <f>B5+C5-D5</f>
        <v>21000000.0</v>
      </c>
    </row>
    <row r="6" spans="1:6" ht="32" customHeight="1">
      <c r="A6" s="3" t="s">
        <v>442</v>
      </c>
      <c r="B6" s="4">
        <v>0</v>
      </c>
      <c r="C6" s="4">
        <v>0</v>
      </c>
      <c r="D6" s="4">
        <v>0</v>
      </c>
      <c r="E6" s="4">
        <v>0</v>
      </c>
      <c r="F6" s="4">
        <f>B6+C6-D6</f>
        <v>0.0</v>
      </c>
    </row>
    <row r="7" spans="1:6" ht="32" customHeight="1">
      <c r="A7" s="3" t="s">
        <v>443</v>
      </c>
      <c r="B7" s="4">
        <v>2008219</v>
      </c>
      <c r="C7" s="4">
        <v>0</v>
      </c>
      <c r="D7" s="4">
        <v>41667</v>
      </c>
      <c r="E7" s="4">
        <v>1966552</v>
      </c>
      <c r="F7" s="4">
        <f>B7+C7-D7</f>
        <v>1966552.0</v>
      </c>
    </row>
  </sheetData>
  <mergeCells count="1">
    <mergeCell ref="A1:F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8.7109375" customWidth="1"/>
    <col min="2" max="2" width="24.7109375" customWidth="1"/>
    <col min="3" max="3" width="28.7109375" customWidth="1"/>
    <col min="4" max="4" width="18.7109375" customWidth="1"/>
    <col min="5" max="5" width="38.7109375" customWidth="1"/>
  </cols>
  <sheetData>
    <row r="1" spans="1:5">
      <c r="A1" s="1" t="s">
        <v>444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445</v>
      </c>
      <c r="B4" s="2" t="s">
        <v>446</v>
      </c>
      <c r="C4" s="2" t="s">
        <v>447</v>
      </c>
      <c r="D4" s="2" t="s">
        <v>448</v>
      </c>
      <c r="E4" s="2" t="s">
        <v>449</v>
      </c>
    </row>
    <row r="5" spans="1:5" ht="32" customHeight="1">
      <c r="A5" s="3" t="s">
        <v>450</v>
      </c>
      <c r="B5" s="4">
        <v>8000000</v>
      </c>
      <c r="C5" s="4">
        <v>0</v>
      </c>
      <c r="D5" s="3" t="s">
        <v>41</v>
      </c>
      <c r="E5" s="3" t="s">
        <v>451</v>
      </c>
    </row>
    <row r="6" spans="1:5" ht="32" customHeight="1">
      <c r="A6" s="3" t="s">
        <v>279</v>
      </c>
      <c r="B6" s="4">
        <v>15000000</v>
      </c>
      <c r="C6" s="4">
        <v>533448</v>
      </c>
      <c r="D6" s="3" t="s">
        <v>41</v>
      </c>
      <c r="E6" s="3" t="s">
        <v>451</v>
      </c>
    </row>
    <row r="7" spans="1:5" ht="32" customHeight="1">
      <c r="A7" s="3" t="s">
        <v>281</v>
      </c>
      <c r="B7" s="4">
        <v>12000000</v>
      </c>
      <c r="C7" s="4">
        <v>640137</v>
      </c>
      <c r="D7" s="3" t="s">
        <v>41</v>
      </c>
      <c r="E7" s="3" t="s">
        <v>451</v>
      </c>
    </row>
    <row r="8" spans="1:5" ht="32" customHeight="1">
      <c r="A8" s="3" t="s">
        <v>283</v>
      </c>
      <c r="B8" s="4">
        <v>7000000</v>
      </c>
      <c r="C8" s="4">
        <v>1066896</v>
      </c>
      <c r="D8" s="3" t="s">
        <v>41</v>
      </c>
      <c r="E8" s="3" t="s">
        <v>451</v>
      </c>
    </row>
    <row r="9" spans="1:5" ht="32" customHeight="1">
      <c r="A9" s="3" t="s">
        <v>285</v>
      </c>
      <c r="B9" s="4">
        <v>3300000</v>
      </c>
      <c r="C9" s="4">
        <v>178750</v>
      </c>
      <c r="D9" s="3" t="s">
        <v>41</v>
      </c>
      <c r="E9" s="3" t="s">
        <v>451</v>
      </c>
    </row>
    <row r="10" spans="1:5" ht="32" customHeight="1">
      <c r="A10" s="3" t="s">
        <v>287</v>
      </c>
      <c r="B10" s="4">
        <v>11000000</v>
      </c>
      <c r="C10" s="4">
        <v>397223</v>
      </c>
      <c r="D10" s="3" t="s">
        <v>41</v>
      </c>
      <c r="E10" s="3" t="s">
        <v>451</v>
      </c>
    </row>
    <row r="11" spans="1:5" ht="32" customHeight="1">
      <c r="A11" s="3" t="s">
        <v>289</v>
      </c>
      <c r="B11" s="4">
        <v>5250000</v>
      </c>
      <c r="C11" s="4">
        <v>153125</v>
      </c>
      <c r="D11" s="3" t="s">
        <v>41</v>
      </c>
      <c r="E11" s="3" t="s">
        <v>451</v>
      </c>
    </row>
    <row r="12" spans="1:5" ht="32" customHeight="1">
      <c r="A12" s="3" t="s">
        <v>452</v>
      </c>
      <c r="B12" s="4">
        <v>283250</v>
      </c>
      <c r="C12" s="4">
        <v>0</v>
      </c>
      <c r="D12" s="3" t="s">
        <v>41</v>
      </c>
      <c r="E12" s="3" t="s">
        <v>451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6.7109375" customWidth="1"/>
    <col min="2" max="5" width="22.7109375" customWidth="1"/>
    <col min="6" max="6" width="26.7109375" customWidth="1"/>
  </cols>
  <sheetData>
    <row r="1" spans="1:6">
      <c r="A1" s="1" t="s">
        <v>453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 ht="32" customHeight="1">
      <c r="A4" s="2" t="s">
        <v>445</v>
      </c>
      <c r="B4" s="2" t="s">
        <v>454</v>
      </c>
      <c r="C4" s="2" t="s">
        <v>455</v>
      </c>
      <c r="D4" s="2" t="s">
        <v>456</v>
      </c>
      <c r="E4" s="2" t="s">
        <v>439</v>
      </c>
      <c r="F4" s="2" t="s">
        <v>440</v>
      </c>
    </row>
    <row r="5" spans="1:6" ht="32" customHeight="1">
      <c r="A5" s="3" t="s">
        <v>450</v>
      </c>
      <c r="B5" s="4">
        <v>8000000</v>
      </c>
      <c r="C5" s="4">
        <v>0</v>
      </c>
      <c r="D5" s="4">
        <v>0</v>
      </c>
      <c r="E5" s="4">
        <v>8000000</v>
      </c>
      <c r="F5" s="4">
        <f>B5+C5-D5</f>
        <v>8000000.0</v>
      </c>
    </row>
    <row r="6" spans="1:6" ht="32" customHeight="1">
      <c r="A6" s="3" t="s">
        <v>279</v>
      </c>
      <c r="B6" s="4">
        <v>14508219</v>
      </c>
      <c r="C6" s="4">
        <v>0</v>
      </c>
      <c r="D6" s="4">
        <v>41667</v>
      </c>
      <c r="E6" s="4">
        <v>14466552</v>
      </c>
      <c r="F6" s="4">
        <f>B6+C6-D6</f>
        <v>14466552.0</v>
      </c>
    </row>
    <row r="7" spans="1:6" ht="32" customHeight="1">
      <c r="A7" s="3" t="s">
        <v>281</v>
      </c>
      <c r="B7" s="4">
        <v>11409863</v>
      </c>
      <c r="C7" s="4">
        <v>0</v>
      </c>
      <c r="D7" s="4">
        <v>50000</v>
      </c>
      <c r="E7" s="4">
        <v>11359863</v>
      </c>
      <c r="F7" s="4">
        <f>B7+C7-D7</f>
        <v>11359863.0</v>
      </c>
    </row>
    <row r="8" spans="1:6" ht="32" customHeight="1">
      <c r="A8" s="3" t="s">
        <v>283</v>
      </c>
      <c r="B8" s="4">
        <v>6016438</v>
      </c>
      <c r="C8" s="4">
        <v>0</v>
      </c>
      <c r="D8" s="4">
        <v>83334</v>
      </c>
      <c r="E8" s="4">
        <v>5933104</v>
      </c>
      <c r="F8" s="4">
        <f>B8+C8-D8</f>
        <v>5933104.0</v>
      </c>
    </row>
    <row r="9" spans="1:6" ht="32" customHeight="1">
      <c r="A9" s="3" t="s">
        <v>285</v>
      </c>
      <c r="B9" s="4">
        <v>3148750</v>
      </c>
      <c r="C9" s="4">
        <v>0</v>
      </c>
      <c r="D9" s="4">
        <v>27500</v>
      </c>
      <c r="E9" s="4">
        <v>3121250</v>
      </c>
      <c r="F9" s="4">
        <f>B9+C9-D9</f>
        <v>3121250.0</v>
      </c>
    </row>
    <row r="10" spans="1:6" ht="32" customHeight="1">
      <c r="A10" s="3" t="s">
        <v>287</v>
      </c>
      <c r="B10" s="4">
        <v>10663889</v>
      </c>
      <c r="C10" s="4">
        <v>0</v>
      </c>
      <c r="D10" s="4">
        <v>61112</v>
      </c>
      <c r="E10" s="4">
        <v>10602777</v>
      </c>
      <c r="F10" s="4">
        <f>B10+C10-D10</f>
        <v>10602777.0</v>
      </c>
    </row>
    <row r="11" spans="1:6" ht="32" customHeight="1">
      <c r="A11" s="3" t="s">
        <v>289</v>
      </c>
      <c r="B11" s="4">
        <v>5118750</v>
      </c>
      <c r="C11" s="4">
        <v>0</v>
      </c>
      <c r="D11" s="4">
        <v>21875</v>
      </c>
      <c r="E11" s="4">
        <v>5096875</v>
      </c>
      <c r="F11" s="4">
        <f>B11+C11-D11</f>
        <v>5096875.0</v>
      </c>
    </row>
    <row r="12" spans="1:6" ht="32" customHeight="1">
      <c r="A12" s="3" t="s">
        <v>452</v>
      </c>
      <c r="B12" s="4">
        <v>0</v>
      </c>
      <c r="C12" s="4">
        <v>283250</v>
      </c>
      <c r="D12" s="4">
        <v>0</v>
      </c>
      <c r="E12" s="4">
        <v>283250</v>
      </c>
      <c r="F12" s="4">
        <f>B12+C12-D12</f>
        <v>283250.0</v>
      </c>
    </row>
  </sheetData>
  <mergeCells count="1">
    <mergeCell ref="A1:F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3" width="28.7109375" customWidth="1"/>
    <col min="4" max="4" width="75.7109375" customWidth="1"/>
  </cols>
  <sheetData>
    <row r="1" spans="1:4">
      <c r="A1" s="1" t="s">
        <v>457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28</v>
      </c>
      <c r="B4" s="2" t="s">
        <v>458</v>
      </c>
      <c r="C4" s="2" t="s">
        <v>459</v>
      </c>
      <c r="D4" s="2" t="s">
        <v>460</v>
      </c>
    </row>
    <row r="5" spans="1:4" ht="32" customHeight="1">
      <c r="A5" s="3" t="s">
        <v>461</v>
      </c>
      <c r="B5" s="4">
        <v>0</v>
      </c>
      <c r="C5" s="4">
        <v>0</v>
      </c>
      <c r="D5" s="3" t="s">
        <v>14</v>
      </c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6" width="19.7109375" customWidth="1"/>
    <col min="7" max="7" width="22.7109375" customWidth="1"/>
    <col min="8" max="8" width="19.7109375" customWidth="1"/>
  </cols>
  <sheetData>
    <row r="1" spans="1:8">
      <c r="A1" s="1" t="s">
        <v>462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 ht="32" customHeight="1">
      <c r="A4" s="2" t="s">
        <v>28</v>
      </c>
      <c r="B4" s="2" t="s">
        <v>29</v>
      </c>
      <c r="C4" s="2" t="s">
        <v>30</v>
      </c>
      <c r="D4" s="2" t="s">
        <v>463</v>
      </c>
      <c r="E4" s="2" t="s">
        <v>464</v>
      </c>
      <c r="F4" s="2" t="s">
        <v>465</v>
      </c>
      <c r="G4" s="2" t="s">
        <v>466</v>
      </c>
      <c r="H4" s="2" t="s">
        <v>403</v>
      </c>
    </row>
    <row r="5" spans="1:8" ht="32" customHeight="1">
      <c r="A5" s="3" t="s">
        <v>31</v>
      </c>
      <c r="B5" s="3" t="s">
        <v>32</v>
      </c>
      <c r="C5" s="4">
        <f>SUMIF(Opening!A5:A26,A5,Opening!C5:C26)</f>
        <v>4198440.0</v>
      </c>
      <c r="D5" s="4">
        <f>SUMIF(Activity!B5:B278,A5,Activity!F5:F278)</f>
        <v>-703912.0</v>
      </c>
      <c r="E5" s="4">
        <f>0</f>
        <v>0.0</v>
      </c>
      <c r="F5" s="4">
        <f>SUM(C5:E5)</f>
        <v>3494528.0</v>
      </c>
      <c r="G5" s="4">
        <v>3494528</v>
      </c>
      <c r="H5" s="4">
        <f>F5-G5</f>
        <v>0.0</v>
      </c>
    </row>
    <row r="6" spans="1:8" ht="32" customHeight="1">
      <c r="A6" s="3" t="s">
        <v>33</v>
      </c>
      <c r="B6" s="3" t="s">
        <v>34</v>
      </c>
      <c r="C6" s="4">
        <f>SUMIF(Opening!A5:A26,A6,Opening!C5:C26)</f>
        <v>6120000.0</v>
      </c>
      <c r="D6" s="4">
        <f>SUMIF(Activity!B5:B278,A6,Activity!F5:F278)</f>
        <v>-1451868.0</v>
      </c>
      <c r="E6" s="4">
        <f>0</f>
        <v>0.0</v>
      </c>
      <c r="F6" s="4">
        <f>SUM(C6:E6)</f>
        <v>4668132.0</v>
      </c>
      <c r="G6" s="4">
        <v>4668132</v>
      </c>
      <c r="H6" s="4">
        <f>F6-G6</f>
        <v>0.0</v>
      </c>
    </row>
    <row r="7" spans="1:8" ht="32" customHeight="1">
      <c r="A7" s="3" t="s">
        <v>35</v>
      </c>
      <c r="B7" s="3" t="s">
        <v>36</v>
      </c>
      <c r="C7" s="4">
        <f>SUMIF(Opening!A5:A26,A7,Opening!C5:C26)</f>
        <v>49240.0</v>
      </c>
      <c r="D7" s="4">
        <f>SUMIF(Activity!B5:B278,A7,Activity!F5:F278)</f>
        <v>-14723.0</v>
      </c>
      <c r="E7" s="4">
        <f>0</f>
        <v>0.0</v>
      </c>
      <c r="F7" s="4">
        <f>SUM(C7:E7)</f>
        <v>34517.0</v>
      </c>
      <c r="G7" s="4">
        <v>34517</v>
      </c>
      <c r="H7" s="4">
        <f>F7-G7</f>
        <v>0.0</v>
      </c>
    </row>
    <row r="8" spans="1:8" ht="32" customHeight="1">
      <c r="A8" s="3" t="s">
        <v>37</v>
      </c>
      <c r="B8" s="3" t="s">
        <v>38</v>
      </c>
      <c r="C8" s="4">
        <f>SUMIF(Opening!A5:A26,A8,Opening!C5:C26)</f>
        <v>1854000.0</v>
      </c>
      <c r="D8" s="4">
        <f>SUMIF(Activity!B5:B278,A8,Activity!F5:F278)</f>
        <v>13905.0</v>
      </c>
      <c r="E8" s="4">
        <f>0</f>
        <v>0.0</v>
      </c>
      <c r="F8" s="4">
        <f>SUM(C8:E8)</f>
        <v>1867905.0</v>
      </c>
      <c r="G8" s="4">
        <v>1867905</v>
      </c>
      <c r="H8" s="4">
        <f>F8-G8</f>
        <v>0.0</v>
      </c>
    </row>
    <row r="9" spans="1:8" ht="32" customHeight="1">
      <c r="A9" s="3" t="s">
        <v>39</v>
      </c>
      <c r="B9" s="3" t="s">
        <v>40</v>
      </c>
      <c r="C9" s="4">
        <f>SUMIF(Opening!A5:A26,A9,Opening!C5:C26)</f>
        <v>721000.0</v>
      </c>
      <c r="D9" s="4">
        <f>SUMIF(Activity!B5:B278,A9,Activity!F5:F278)</f>
        <v>0.0</v>
      </c>
      <c r="E9" s="4">
        <f>0</f>
        <v>0.0</v>
      </c>
      <c r="F9" s="4">
        <f>SUM(C9:E9)</f>
        <v>721000.0</v>
      </c>
      <c r="G9" s="4">
        <v>721000</v>
      </c>
      <c r="H9" s="4">
        <f>F9-G9</f>
        <v>0.0</v>
      </c>
    </row>
    <row r="10" spans="1:8" ht="32" customHeight="1">
      <c r="A10" s="3" t="s">
        <v>41</v>
      </c>
      <c r="B10" s="3" t="s">
        <v>42</v>
      </c>
      <c r="C10" s="4">
        <f>SUMIF(Opening!A5:A26,A10,Opening!C5:C26)</f>
        <v>61550000.0</v>
      </c>
      <c r="D10" s="4">
        <f>SUMIF(Activity!B5:B278,A10,Activity!F5:F278)</f>
        <v>283250.0</v>
      </c>
      <c r="E10" s="4">
        <f>0</f>
        <v>0.0</v>
      </c>
      <c r="F10" s="4">
        <f>SUM(C10:E10)</f>
        <v>61833250.0</v>
      </c>
      <c r="G10" s="4">
        <v>61833250</v>
      </c>
      <c r="H10" s="4">
        <f>F10-G10</f>
        <v>0.0</v>
      </c>
    </row>
    <row r="11" spans="1:8" ht="32" customHeight="1">
      <c r="A11" s="3" t="s">
        <v>43</v>
      </c>
      <c r="B11" s="3" t="s">
        <v>44</v>
      </c>
      <c r="C11" s="4">
        <f>SUMIF(Opening!A5:A26,A11,Opening!C5:C26)</f>
        <v>-2684091.0</v>
      </c>
      <c r="D11" s="4">
        <f>SUMIF(Activity!B5:B278,A11,Activity!F5:F278)</f>
        <v>-285488.0</v>
      </c>
      <c r="E11" s="4">
        <f>0</f>
        <v>0.0</v>
      </c>
      <c r="F11" s="4">
        <f>SUM(C11:E11)</f>
        <v>-2969579.0</v>
      </c>
      <c r="G11" s="4">
        <v>-2969579</v>
      </c>
      <c r="H11" s="4">
        <f>F11-G11</f>
        <v>0.0</v>
      </c>
    </row>
    <row r="12" spans="1:8" ht="32" customHeight="1">
      <c r="A12" s="3" t="s">
        <v>45</v>
      </c>
      <c r="B12" s="3" t="s">
        <v>46</v>
      </c>
      <c r="C12" s="4">
        <f>SUMIF(Opening!A5:A26,A12,Opening!C5:C26)</f>
        <v>2500000.0</v>
      </c>
      <c r="D12" s="4">
        <f>SUMIF(Activity!B5:B278,A12,Activity!F5:F278)</f>
        <v>0.0</v>
      </c>
      <c r="E12" s="4">
        <f>0</f>
        <v>0.0</v>
      </c>
      <c r="F12" s="4">
        <f>SUM(C12:E12)</f>
        <v>2500000.0</v>
      </c>
      <c r="G12" s="4">
        <v>2500000</v>
      </c>
      <c r="H12" s="4">
        <f>F12-G12</f>
        <v>0.0</v>
      </c>
    </row>
    <row r="13" spans="1:8" ht="32" customHeight="1">
      <c r="A13" s="3" t="s">
        <v>47</v>
      </c>
      <c r="B13" s="3" t="s">
        <v>48</v>
      </c>
      <c r="C13" s="4">
        <f>SUMIF(Opening!A5:A26,A13,Opening!C5:C26)</f>
        <v>-491783.0</v>
      </c>
      <c r="D13" s="4">
        <f>SUMIF(Activity!B5:B278,A13,Activity!F5:F278)</f>
        <v>-41667.0</v>
      </c>
      <c r="E13" s="4">
        <f>0</f>
        <v>0.0</v>
      </c>
      <c r="F13" s="4">
        <f>SUM(C13:E13)</f>
        <v>-533450.0</v>
      </c>
      <c r="G13" s="4">
        <v>-533450</v>
      </c>
      <c r="H13" s="4">
        <f>F13-G13</f>
        <v>0.0</v>
      </c>
    </row>
    <row r="14" spans="1:8" ht="32" customHeight="1">
      <c r="A14" s="3" t="s">
        <v>49</v>
      </c>
      <c r="B14" s="3" t="s">
        <v>50</v>
      </c>
      <c r="C14" s="4">
        <f>SUMIF(Opening!A5:A26,A14,Opening!C5:C26)</f>
        <v>14762500.0</v>
      </c>
      <c r="D14" s="4">
        <f>SUMIF(Activity!B5:B278,A14,Activity!F5:F278)</f>
        <v>0.0</v>
      </c>
      <c r="E14" s="4">
        <f>0</f>
        <v>0.0</v>
      </c>
      <c r="F14" s="4">
        <f>SUM(C14:E14)</f>
        <v>14762500.0</v>
      </c>
      <c r="G14" s="4">
        <v>14762500</v>
      </c>
      <c r="H14" s="4">
        <f>F14-G14</f>
        <v>0.0</v>
      </c>
    </row>
    <row r="15" spans="1:8" ht="32" customHeight="1">
      <c r="A15" s="3" t="s">
        <v>51</v>
      </c>
      <c r="B15" s="3" t="s">
        <v>52</v>
      </c>
      <c r="C15" s="4">
        <f>SUMIF(Opening!A5:A26,A15,Opening!C5:C26)</f>
        <v>240968.0</v>
      </c>
      <c r="D15" s="4">
        <f>SUMIF(Activity!B5:B278,A15,Activity!F5:F278)</f>
        <v>-5000.0</v>
      </c>
      <c r="E15" s="4">
        <f>0</f>
        <v>0.0</v>
      </c>
      <c r="F15" s="4">
        <f>SUM(C15:E15)</f>
        <v>235968.0</v>
      </c>
      <c r="G15" s="4">
        <v>235968</v>
      </c>
      <c r="H15" s="4">
        <f>F15-G15</f>
        <v>0.0</v>
      </c>
    </row>
    <row r="16" spans="1:8" ht="32" customHeight="1">
      <c r="A16" s="3" t="s">
        <v>53</v>
      </c>
      <c r="B16" s="3" t="s">
        <v>54</v>
      </c>
      <c r="C16" s="4">
        <f>SUMIF(Opening!A5:A26,A16,Opening!C5:C26)</f>
        <v>587500.0</v>
      </c>
      <c r="D16" s="4">
        <f>SUMIF(Activity!B5:B278,A16,Activity!F5:F278)</f>
        <v>0.0</v>
      </c>
      <c r="E16" s="4">
        <f>0</f>
        <v>0.0</v>
      </c>
      <c r="F16" s="4">
        <f>SUM(C16:E16)</f>
        <v>587500.0</v>
      </c>
      <c r="G16" s="4">
        <v>587500</v>
      </c>
      <c r="H16" s="4">
        <f>F16-G16</f>
        <v>0.0</v>
      </c>
    </row>
    <row r="17" spans="1:8" ht="32" customHeight="1">
      <c r="A17" s="3" t="s">
        <v>55</v>
      </c>
      <c r="B17" s="3" t="s">
        <v>56</v>
      </c>
      <c r="C17" s="4">
        <f>SUMIF(Opening!A5:A26,A17,Opening!C5:C26)</f>
        <v>-3090000.0</v>
      </c>
      <c r="D17" s="4">
        <f>SUMIF(Activity!B5:B278,A17,Activity!F5:F278)</f>
        <v>1482416.0</v>
      </c>
      <c r="E17" s="4">
        <f>0</f>
        <v>0.0</v>
      </c>
      <c r="F17" s="4">
        <f>SUM(C17:E17)</f>
        <v>-1607584.0</v>
      </c>
      <c r="G17" s="4">
        <v>-1607584</v>
      </c>
      <c r="H17" s="4">
        <f>F17-G17</f>
        <v>0.0</v>
      </c>
    </row>
    <row r="18" spans="1:8" ht="32" customHeight="1">
      <c r="A18" s="3" t="s">
        <v>57</v>
      </c>
      <c r="B18" s="3" t="s">
        <v>58</v>
      </c>
      <c r="C18" s="4">
        <f>SUMIF(Opening!A5:A26,A18,Opening!C5:C26)</f>
        <v>-1030000.0</v>
      </c>
      <c r="D18" s="4">
        <f>SUMIF(Activity!B5:B278,A18,Activity!F5:F278)</f>
        <v>0.0</v>
      </c>
      <c r="E18" s="4">
        <f>0</f>
        <v>0.0</v>
      </c>
      <c r="F18" s="4">
        <f>SUM(C18:E18)</f>
        <v>-1030000.0</v>
      </c>
      <c r="G18" s="4">
        <v>-1030000</v>
      </c>
      <c r="H18" s="4">
        <f>F18-G18</f>
        <v>0.0</v>
      </c>
    </row>
    <row r="19" spans="1:8" ht="32" customHeight="1">
      <c r="A19" s="3" t="s">
        <v>59</v>
      </c>
      <c r="B19" s="3" t="s">
        <v>60</v>
      </c>
      <c r="C19" s="4">
        <f>SUMIF(Opening!A5:A26,A19,Opening!C5:C26)</f>
        <v>-241781.0</v>
      </c>
      <c r="D19" s="4">
        <f>SUMIF(Activity!B5:B278,A19,Activity!F5:F278)</f>
        <v>241781.0</v>
      </c>
      <c r="E19" s="4">
        <f>0</f>
        <v>0.0</v>
      </c>
      <c r="F19" s="4">
        <f>SUM(C19:E19)</f>
        <v>0.0</v>
      </c>
      <c r="G19" s="4">
        <v>0</v>
      </c>
      <c r="H19" s="4">
        <f>F19-G19</f>
        <v>0.0</v>
      </c>
    </row>
    <row r="20" spans="1:8" ht="32" customHeight="1">
      <c r="A20" s="3" t="s">
        <v>61</v>
      </c>
      <c r="B20" s="3" t="s">
        <v>62</v>
      </c>
      <c r="C20" s="4">
        <f>SUMIF(Opening!A5:A26,A20,Opening!C5:C26)</f>
        <v>-1750000.0</v>
      </c>
      <c r="D20" s="4">
        <f>SUMIF(Activity!B5:B278,A20,Activity!F5:F278)</f>
        <v>0.0</v>
      </c>
      <c r="E20" s="4">
        <f>0</f>
        <v>0.0</v>
      </c>
      <c r="F20" s="4">
        <f>SUM(C20:E20)</f>
        <v>-1750000.0</v>
      </c>
      <c r="G20" s="4">
        <v>-1750000</v>
      </c>
      <c r="H20" s="4">
        <f>F20-G20</f>
        <v>0.0</v>
      </c>
    </row>
    <row r="21" spans="1:8" ht="32" customHeight="1">
      <c r="A21" s="3" t="s">
        <v>63</v>
      </c>
      <c r="B21" s="3" t="s">
        <v>64</v>
      </c>
      <c r="C21" s="4">
        <f>SUMIF(Opening!A5:A26,A21,Opening!C5:C26)</f>
        <v>-216667.0</v>
      </c>
      <c r="D21" s="4">
        <f>SUMIF(Activity!B5:B278,A21,Activity!F5:F278)</f>
        <v>-18055.0</v>
      </c>
      <c r="E21" s="4">
        <f>0</f>
        <v>0.0</v>
      </c>
      <c r="F21" s="4">
        <f>SUM(C21:E21)</f>
        <v>-234722.0</v>
      </c>
      <c r="G21" s="4">
        <v>-234722</v>
      </c>
      <c r="H21" s="4">
        <f>F21-G21</f>
        <v>0.0</v>
      </c>
    </row>
    <row r="22" spans="1:8" ht="32" customHeight="1">
      <c r="A22" s="3" t="s">
        <v>65</v>
      </c>
      <c r="B22" s="3" t="s">
        <v>66</v>
      </c>
      <c r="C22" s="4">
        <f>SUMIF(Opening!A5:A26,A22,Opening!C5:C26)</f>
        <v>-600000.0</v>
      </c>
      <c r="D22" s="4">
        <f>SUMIF(Activity!B5:B278,A22,Activity!F5:F278)</f>
        <v>0.0</v>
      </c>
      <c r="E22" s="4">
        <f>0</f>
        <v>0.0</v>
      </c>
      <c r="F22" s="4">
        <f>SUM(C22:E22)</f>
        <v>-600000.0</v>
      </c>
      <c r="G22" s="4">
        <v>-600000</v>
      </c>
      <c r="H22" s="4">
        <f>F22-G22</f>
        <v>0.0</v>
      </c>
    </row>
    <row r="23" spans="1:8" ht="32" customHeight="1">
      <c r="A23" s="3" t="s">
        <v>67</v>
      </c>
      <c r="B23" s="3" t="s">
        <v>68</v>
      </c>
      <c r="C23" s="4">
        <f>SUMIF(Opening!A5:A26,A23,Opening!C5:C26)</f>
        <v>-21375000.0</v>
      </c>
      <c r="D23" s="4">
        <f>SUMIF(Activity!B5:B278,A23,Activity!F5:F278)</f>
        <v>375000.0</v>
      </c>
      <c r="E23" s="4">
        <f>0</f>
        <v>0.0</v>
      </c>
      <c r="F23" s="4">
        <f>SUM(C23:E23)</f>
        <v>-21000000.0</v>
      </c>
      <c r="G23" s="4">
        <v>-21000000</v>
      </c>
      <c r="H23" s="4">
        <f>F23-G23</f>
        <v>0.0</v>
      </c>
    </row>
    <row r="24" spans="1:8" ht="32" customHeight="1">
      <c r="A24" s="3" t="s">
        <v>467</v>
      </c>
      <c r="B24" s="3" t="s">
        <v>468</v>
      </c>
      <c r="C24" s="4">
        <f>SUMIF(Opening!A5:A26,A24,Opening!C5:C26)</f>
        <v>0.0</v>
      </c>
      <c r="D24" s="4">
        <f>SUMIF(Activity!B5:B278,A24,Activity!F5:F278)</f>
        <v>0.0</v>
      </c>
      <c r="E24" s="4">
        <f>0</f>
        <v>0.0</v>
      </c>
      <c r="F24" s="4">
        <f>SUM(C24:E24)</f>
        <v>0.0</v>
      </c>
      <c r="G24" s="4">
        <v>0</v>
      </c>
      <c r="H24" s="4">
        <f>F24-G24</f>
        <v>0.0</v>
      </c>
    </row>
    <row r="25" spans="1:8" ht="32" customHeight="1">
      <c r="A25" s="3" t="s">
        <v>69</v>
      </c>
      <c r="B25" s="3" t="s">
        <v>70</v>
      </c>
      <c r="C25" s="4">
        <f>SUMIF(Opening!A5:A26,A25,Opening!C5:C26)</f>
        <v>-2008219.0</v>
      </c>
      <c r="D25" s="4">
        <f>SUMIF(Activity!B5:B278,A25,Activity!F5:F278)</f>
        <v>41667.0</v>
      </c>
      <c r="E25" s="4">
        <f>0</f>
        <v>0.0</v>
      </c>
      <c r="F25" s="4">
        <f>SUM(C25:E25)</f>
        <v>-1966552.0</v>
      </c>
      <c r="G25" s="4">
        <v>-1966552</v>
      </c>
      <c r="H25" s="4">
        <f>F25-G25</f>
        <v>0.0</v>
      </c>
    </row>
    <row r="26" spans="1:8" ht="32" customHeight="1">
      <c r="A26" s="3" t="s">
        <v>469</v>
      </c>
      <c r="B26" s="3" t="s">
        <v>470</v>
      </c>
      <c r="C26" s="4">
        <f>SUMIF(Opening!A5:A26,A26,Opening!C5:C26)</f>
        <v>0.0</v>
      </c>
      <c r="D26" s="4">
        <f>SUMIF(Activity!B5:B278,A26,Activity!F5:F278)</f>
        <v>0.0</v>
      </c>
      <c r="E26" s="4">
        <f>0</f>
        <v>0.0</v>
      </c>
      <c r="F26" s="4">
        <f>SUM(C26:E26)</f>
        <v>0.0</v>
      </c>
      <c r="G26" s="4">
        <v>0</v>
      </c>
      <c r="H26" s="4">
        <f>F26-G26</f>
        <v>0.0</v>
      </c>
    </row>
    <row r="27" spans="1:8" ht="32" customHeight="1">
      <c r="A27" s="3" t="s">
        <v>295</v>
      </c>
      <c r="B27" s="3" t="s">
        <v>471</v>
      </c>
      <c r="C27" s="4">
        <f>SUMIF(Opening!A5:A26,A27,Opening!C5:C26)</f>
        <v>0.0</v>
      </c>
      <c r="D27" s="4">
        <f>SUMIF(Activity!B5:B278,A27,Activity!F5:F278)</f>
        <v>0.0</v>
      </c>
      <c r="E27" s="4">
        <f>0</f>
        <v>0.0</v>
      </c>
      <c r="F27" s="4">
        <f>SUM(C27:E27)</f>
        <v>0.0</v>
      </c>
      <c r="G27" s="4">
        <v>0</v>
      </c>
      <c r="H27" s="4">
        <f>F27-G27</f>
        <v>0.0</v>
      </c>
    </row>
    <row r="28" spans="1:8" ht="32" customHeight="1">
      <c r="A28" s="3" t="s">
        <v>71</v>
      </c>
      <c r="B28" s="3" t="s">
        <v>72</v>
      </c>
      <c r="C28" s="4">
        <f>SUMIF(Opening!A5:A26,A28,Opening!C5:C26)</f>
        <v>-56004880.0</v>
      </c>
      <c r="D28" s="4">
        <f>SUMIF(Activity!B5:B278,A28,Activity!F5:F278)</f>
        <v>0.0</v>
      </c>
      <c r="E28" s="4">
        <f>0</f>
        <v>0.0</v>
      </c>
      <c r="F28" s="4">
        <f>SUM(C28:E28)</f>
        <v>-56004880.0</v>
      </c>
      <c r="G28" s="4">
        <v>-56004880</v>
      </c>
      <c r="H28" s="4">
        <f>F28-G28</f>
        <v>0.0</v>
      </c>
    </row>
    <row r="29" spans="1:8" ht="32" customHeight="1">
      <c r="A29" s="3" t="s">
        <v>73</v>
      </c>
      <c r="B29" s="3" t="s">
        <v>74</v>
      </c>
      <c r="C29" s="4">
        <f>SUMIF(Opening!A5:A26,A29,Opening!C5:C26)</f>
        <v>-3091227.0</v>
      </c>
      <c r="D29" s="4">
        <f>SUMIF(Activity!B5:B278,A29,Activity!F5:F278)</f>
        <v>0.0</v>
      </c>
      <c r="E29" s="4">
        <f>0</f>
        <v>0.0</v>
      </c>
      <c r="F29" s="4">
        <f>SUM(C29:E29)</f>
        <v>-3091227.0</v>
      </c>
      <c r="G29" s="4">
        <v>-3091227</v>
      </c>
      <c r="H29" s="4">
        <f>F29-G29</f>
        <v>0.0</v>
      </c>
    </row>
    <row r="30" spans="1:8" ht="32" customHeight="1">
      <c r="A30" s="3" t="s">
        <v>85</v>
      </c>
      <c r="B30" s="3" t="s">
        <v>472</v>
      </c>
      <c r="C30" s="4">
        <f>SUMIF(Opening!A5:A26,A30,Opening!C5:C26)</f>
        <v>0.0</v>
      </c>
      <c r="D30" s="4">
        <f>SUMIF(Activity!B5:B278,A30,Activity!F5:F278)</f>
        <v>-3138132.0</v>
      </c>
      <c r="E30" s="4">
        <f>0</f>
        <v>0.0</v>
      </c>
      <c r="F30" s="4">
        <f>SUM(C30:E30)</f>
        <v>-3138132.0</v>
      </c>
      <c r="G30" s="4">
        <v>-3138132</v>
      </c>
      <c r="H30" s="4">
        <f>F30-G30</f>
        <v>0.0</v>
      </c>
    </row>
    <row r="31" spans="1:8" ht="32" customHeight="1">
      <c r="A31" s="3" t="s">
        <v>211</v>
      </c>
      <c r="B31" s="3" t="s">
        <v>473</v>
      </c>
      <c r="C31" s="4">
        <f>SUMIF(Opening!A5:A26,A31,Opening!C5:C26)</f>
        <v>0.0</v>
      </c>
      <c r="D31" s="4">
        <f>SUMIF(Activity!B5:B278,A31,Activity!F5:F278)</f>
        <v>-34517.0</v>
      </c>
      <c r="E31" s="4">
        <f>0</f>
        <v>0.0</v>
      </c>
      <c r="F31" s="4">
        <f>SUM(C31:E31)</f>
        <v>-34517.0</v>
      </c>
      <c r="G31" s="4">
        <v>-34517</v>
      </c>
      <c r="H31" s="4">
        <f>F31-G31</f>
        <v>0.0</v>
      </c>
    </row>
    <row r="32" spans="1:8" ht="32" customHeight="1">
      <c r="A32" s="3" t="s">
        <v>143</v>
      </c>
      <c r="B32" s="3" t="s">
        <v>474</v>
      </c>
      <c r="C32" s="4">
        <f>SUMIF(Opening!A5:A26,A32,Opening!C5:C26)</f>
        <v>0.0</v>
      </c>
      <c r="D32" s="4">
        <f>SUMIF(Activity!B5:B278,A32,Activity!F5:F278)</f>
        <v>1147239.0</v>
      </c>
      <c r="E32" s="4">
        <f>0</f>
        <v>0.0</v>
      </c>
      <c r="F32" s="4">
        <f>SUM(C32:E32)</f>
        <v>1147239.0</v>
      </c>
      <c r="G32" s="4">
        <v>1147239</v>
      </c>
      <c r="H32" s="4">
        <f>F32-G32</f>
        <v>0.0</v>
      </c>
    </row>
    <row r="33" spans="1:8" ht="32" customHeight="1">
      <c r="A33" s="3" t="s">
        <v>146</v>
      </c>
      <c r="B33" s="3" t="s">
        <v>475</v>
      </c>
      <c r="C33" s="4">
        <f>SUMIF(Opening!A5:A26,A33,Opening!C5:C26)</f>
        <v>0.0</v>
      </c>
      <c r="D33" s="4">
        <f>SUMIF(Activity!B5:B278,A33,Activity!F5:F278)</f>
        <v>1593679.0</v>
      </c>
      <c r="E33" s="4">
        <f>0</f>
        <v>0.0</v>
      </c>
      <c r="F33" s="4">
        <f>SUM(C33:E33)</f>
        <v>1593679.0</v>
      </c>
      <c r="G33" s="4">
        <v>1593679</v>
      </c>
      <c r="H33" s="4">
        <f>F33-G33</f>
        <v>0.0</v>
      </c>
    </row>
    <row r="34" spans="1:8" ht="32" customHeight="1">
      <c r="A34" s="3" t="s">
        <v>213</v>
      </c>
      <c r="B34" s="3" t="s">
        <v>476</v>
      </c>
      <c r="C34" s="4">
        <f>SUMIF(Opening!A5:A26,A34,Opening!C5:C26)</f>
        <v>0.0</v>
      </c>
      <c r="D34" s="4">
        <f>SUMIF(Activity!B5:B278,A34,Activity!F5:F278)</f>
        <v>23866.0</v>
      </c>
      <c r="E34" s="4">
        <f>0</f>
        <v>0.0</v>
      </c>
      <c r="F34" s="4">
        <f>SUM(C34:E34)</f>
        <v>23866.0</v>
      </c>
      <c r="G34" s="4">
        <v>23866</v>
      </c>
      <c r="H34" s="4">
        <f>F34-G34</f>
        <v>0.0</v>
      </c>
    </row>
    <row r="35" spans="1:8" ht="32" customHeight="1">
      <c r="A35" s="3" t="s">
        <v>278</v>
      </c>
      <c r="B35" s="3" t="s">
        <v>477</v>
      </c>
      <c r="C35" s="4">
        <f>SUMIF(Opening!A5:A26,A35,Opening!C5:C26)</f>
        <v>0.0</v>
      </c>
      <c r="D35" s="4">
        <f>SUMIF(Activity!B5:B278,A35,Activity!F5:F278)</f>
        <v>327155.0</v>
      </c>
      <c r="E35" s="4">
        <f>0</f>
        <v>0.0</v>
      </c>
      <c r="F35" s="4">
        <f>SUM(C35:E35)</f>
        <v>327155.0</v>
      </c>
      <c r="G35" s="4">
        <v>327155</v>
      </c>
      <c r="H35" s="4">
        <f>F35-G35</f>
        <v>0.0</v>
      </c>
    </row>
    <row r="36" spans="1:8" ht="32" customHeight="1">
      <c r="A36" s="3" t="s">
        <v>293</v>
      </c>
      <c r="B36" s="3" t="s">
        <v>478</v>
      </c>
      <c r="C36" s="4">
        <f>SUMIF(Opening!A5:A26,A36,Opening!C5:C26)</f>
        <v>0.0</v>
      </c>
      <c r="D36" s="4">
        <f>SUMIF(Activity!B5:B278,A36,Activity!F5:F278)</f>
        <v>137130.0</v>
      </c>
      <c r="E36" s="4">
        <f>0</f>
        <v>0.0</v>
      </c>
      <c r="F36" s="4">
        <f>SUM(C36:E36)</f>
        <v>137130.0</v>
      </c>
      <c r="G36" s="4">
        <v>137130</v>
      </c>
      <c r="H36" s="4">
        <f>F36-G36</f>
        <v>0.0</v>
      </c>
    </row>
    <row r="37" spans="1:8" ht="32" customHeight="1">
      <c r="A37" s="3" t="s">
        <v>302</v>
      </c>
      <c r="B37" s="3" t="s">
        <v>479</v>
      </c>
      <c r="C37" s="4">
        <f>SUMIF(Opening!A5:A26,A37,Opening!C5:C26)</f>
        <v>0.0</v>
      </c>
      <c r="D37" s="4">
        <f>SUMIF(Activity!B5:B278,A37,Activity!F5:F278)</f>
        <v>18055.0</v>
      </c>
      <c r="E37" s="4">
        <f>0</f>
        <v>0.0</v>
      </c>
      <c r="F37" s="4">
        <f>SUM(C37:E37)</f>
        <v>18055.0</v>
      </c>
      <c r="G37" s="4">
        <v>18055</v>
      </c>
      <c r="H37" s="4">
        <f>F37-G37</f>
        <v>0.0</v>
      </c>
    </row>
    <row r="38" spans="1:8" ht="32" customHeight="1">
      <c r="A38" s="3" t="s">
        <v>205</v>
      </c>
      <c r="B38" s="3" t="s">
        <v>480</v>
      </c>
      <c r="C38" s="4">
        <f>SUMIF(Opening!A5:A26,A38,Opening!C5:C26)</f>
        <v>0.0</v>
      </c>
      <c r="D38" s="4">
        <f>SUMIF(Activity!B5:B278,A38,Activity!F5:F278)</f>
        <v>8219.0</v>
      </c>
      <c r="E38" s="4">
        <f>0</f>
        <v>0.0</v>
      </c>
      <c r="F38" s="4">
        <f>SUM(C38:E38)</f>
        <v>8219.0</v>
      </c>
      <c r="G38" s="4">
        <v>8219</v>
      </c>
      <c r="H38" s="4">
        <f>F38-G38</f>
        <v>0.0</v>
      </c>
    </row>
  </sheetData>
  <mergeCells count="1">
    <mergeCell ref="A1:H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70.7109375" customWidth="1"/>
    <col min="3" max="3" width="22.7109375" customWidth="1"/>
    <col min="4" max="4" width="26.7109375" customWidth="1"/>
  </cols>
  <sheetData>
    <row r="1" spans="1:4">
      <c r="A1" s="1" t="s">
        <v>481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28</v>
      </c>
      <c r="B4" s="2" t="s">
        <v>482</v>
      </c>
      <c r="C4" s="2" t="s">
        <v>483</v>
      </c>
      <c r="D4" s="2" t="s">
        <v>484</v>
      </c>
    </row>
    <row r="5" spans="1:4" ht="32" customHeight="1">
      <c r="A5" s="3" t="s">
        <v>85</v>
      </c>
      <c r="B5" s="3" t="s">
        <v>472</v>
      </c>
      <c r="C5" s="3" t="s">
        <v>485</v>
      </c>
      <c r="D5" s="4">
        <f>'Closing TB'!F30*-1</f>
        <v>3138132.0</v>
      </c>
    </row>
    <row r="6" spans="1:4" ht="32" customHeight="1">
      <c r="A6" s="3" t="s">
        <v>211</v>
      </c>
      <c r="B6" s="3" t="s">
        <v>473</v>
      </c>
      <c r="C6" s="3" t="s">
        <v>485</v>
      </c>
      <c r="D6" s="4">
        <f>'Closing TB'!F31*-1</f>
        <v>34517.0</v>
      </c>
    </row>
    <row r="7" spans="1:4" ht="32" customHeight="1">
      <c r="A7" s="3" t="s">
        <v>143</v>
      </c>
      <c r="B7" s="3" t="s">
        <v>474</v>
      </c>
      <c r="C7" s="3" t="s">
        <v>486</v>
      </c>
      <c r="D7" s="4">
        <f>'Closing TB'!F32*1</f>
        <v>1147239.0</v>
      </c>
    </row>
    <row r="8" spans="1:4" ht="32" customHeight="1">
      <c r="A8" s="3" t="s">
        <v>146</v>
      </c>
      <c r="B8" s="3" t="s">
        <v>475</v>
      </c>
      <c r="C8" s="3" t="s">
        <v>486</v>
      </c>
      <c r="D8" s="4">
        <f>'Closing TB'!F33*1</f>
        <v>1593679.0</v>
      </c>
    </row>
    <row r="9" spans="1:4" ht="32" customHeight="1">
      <c r="A9" s="3" t="s">
        <v>213</v>
      </c>
      <c r="B9" s="3" t="s">
        <v>476</v>
      </c>
      <c r="C9" s="3" t="s">
        <v>486</v>
      </c>
      <c r="D9" s="4">
        <f>'Closing TB'!F34*1</f>
        <v>23866.0</v>
      </c>
    </row>
    <row r="10" spans="1:4" ht="32" customHeight="1">
      <c r="A10" s="3" t="s">
        <v>278</v>
      </c>
      <c r="B10" s="3" t="s">
        <v>477</v>
      </c>
      <c r="C10" s="3" t="s">
        <v>486</v>
      </c>
      <c r="D10" s="4">
        <f>'Closing TB'!F35*1</f>
        <v>327155.0</v>
      </c>
    </row>
    <row r="11" spans="1:4" ht="32" customHeight="1">
      <c r="A11" s="3" t="s">
        <v>293</v>
      </c>
      <c r="B11" s="3" t="s">
        <v>478</v>
      </c>
      <c r="C11" s="3" t="s">
        <v>486</v>
      </c>
      <c r="D11" s="4">
        <f>'Closing TB'!F36*1</f>
        <v>137130.0</v>
      </c>
    </row>
    <row r="12" spans="1:4" ht="32" customHeight="1">
      <c r="A12" s="3" t="s">
        <v>302</v>
      </c>
      <c r="B12" s="3" t="s">
        <v>479</v>
      </c>
      <c r="C12" s="3" t="s">
        <v>486</v>
      </c>
      <c r="D12" s="4">
        <f>'Closing TB'!F37*1</f>
        <v>18055.0</v>
      </c>
    </row>
    <row r="13" spans="1:4" ht="32" customHeight="1">
      <c r="A13" s="3" t="s">
        <v>205</v>
      </c>
      <c r="B13" s="3" t="s">
        <v>480</v>
      </c>
      <c r="C13" s="3" t="s">
        <v>486</v>
      </c>
      <c r="D13" s="4">
        <f>'Closing TB'!F38*1</f>
        <v>8219.0</v>
      </c>
    </row>
    <row r="14" spans="1:4" ht="32" customHeight="1">
      <c r="B14" s="2" t="s">
        <v>427</v>
      </c>
      <c r="D14" s="4">
        <f>Statements!B7</f>
        <v>-82694.0</v>
      </c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70.7109375" customWidth="1"/>
    <col min="3" max="3" width="22.7109375" customWidth="1"/>
    <col min="4" max="4" width="26.7109375" customWidth="1"/>
  </cols>
  <sheetData>
    <row r="1" spans="1:4">
      <c r="A1" s="1" t="s">
        <v>487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28</v>
      </c>
      <c r="B4" s="2" t="s">
        <v>482</v>
      </c>
      <c r="C4" s="2" t="s">
        <v>483</v>
      </c>
      <c r="D4" s="2" t="s">
        <v>484</v>
      </c>
    </row>
    <row r="5" spans="1:4" ht="32" customHeight="1">
      <c r="A5" s="3" t="s">
        <v>31</v>
      </c>
      <c r="B5" s="3" t="s">
        <v>32</v>
      </c>
      <c r="C5" s="3" t="s">
        <v>488</v>
      </c>
      <c r="D5" s="4">
        <f>'Closing TB'!F5*1</f>
        <v>3494528.0</v>
      </c>
    </row>
    <row r="6" spans="1:4" ht="32" customHeight="1">
      <c r="A6" s="3" t="s">
        <v>33</v>
      </c>
      <c r="B6" s="3" t="s">
        <v>34</v>
      </c>
      <c r="C6" s="3" t="s">
        <v>488</v>
      </c>
      <c r="D6" s="4">
        <f>'Closing TB'!F6*1</f>
        <v>4668132.0</v>
      </c>
    </row>
    <row r="7" spans="1:4" ht="32" customHeight="1">
      <c r="A7" s="3" t="s">
        <v>35</v>
      </c>
      <c r="B7" s="3" t="s">
        <v>36</v>
      </c>
      <c r="C7" s="3" t="s">
        <v>488</v>
      </c>
      <c r="D7" s="4">
        <f>'Closing TB'!F7*1</f>
        <v>34517.0</v>
      </c>
    </row>
    <row r="8" spans="1:4" ht="32" customHeight="1">
      <c r="A8" s="3" t="s">
        <v>37</v>
      </c>
      <c r="B8" s="3" t="s">
        <v>38</v>
      </c>
      <c r="C8" s="3" t="s">
        <v>488</v>
      </c>
      <c r="D8" s="4">
        <f>'Closing TB'!F8*1</f>
        <v>1867905.0</v>
      </c>
    </row>
    <row r="9" spans="1:4" ht="32" customHeight="1">
      <c r="A9" s="3" t="s">
        <v>39</v>
      </c>
      <c r="B9" s="3" t="s">
        <v>40</v>
      </c>
      <c r="C9" s="3" t="s">
        <v>488</v>
      </c>
      <c r="D9" s="4">
        <f>'Closing TB'!F9*1</f>
        <v>721000.0</v>
      </c>
    </row>
    <row r="10" spans="1:4" ht="32" customHeight="1">
      <c r="A10" s="3" t="s">
        <v>41</v>
      </c>
      <c r="B10" s="3" t="s">
        <v>42</v>
      </c>
      <c r="C10" s="3" t="s">
        <v>488</v>
      </c>
      <c r="D10" s="4">
        <f>'Closing TB'!F10*1</f>
        <v>61833250.0</v>
      </c>
    </row>
    <row r="11" spans="1:4" ht="32" customHeight="1">
      <c r="A11" s="3" t="s">
        <v>43</v>
      </c>
      <c r="B11" s="3" t="s">
        <v>44</v>
      </c>
      <c r="C11" s="3" t="s">
        <v>488</v>
      </c>
      <c r="D11" s="4">
        <f>'Closing TB'!F11*1</f>
        <v>-2969579.0</v>
      </c>
    </row>
    <row r="12" spans="1:4" ht="32" customHeight="1">
      <c r="A12" s="3" t="s">
        <v>45</v>
      </c>
      <c r="B12" s="3" t="s">
        <v>46</v>
      </c>
      <c r="C12" s="3" t="s">
        <v>488</v>
      </c>
      <c r="D12" s="4">
        <f>'Closing TB'!F12*1</f>
        <v>2500000.0</v>
      </c>
    </row>
    <row r="13" spans="1:4" ht="32" customHeight="1">
      <c r="A13" s="3" t="s">
        <v>47</v>
      </c>
      <c r="B13" s="3" t="s">
        <v>48</v>
      </c>
      <c r="C13" s="3" t="s">
        <v>488</v>
      </c>
      <c r="D13" s="4">
        <f>'Closing TB'!F13*1</f>
        <v>-533450.0</v>
      </c>
    </row>
    <row r="14" spans="1:4" ht="32" customHeight="1">
      <c r="A14" s="3" t="s">
        <v>49</v>
      </c>
      <c r="B14" s="3" t="s">
        <v>50</v>
      </c>
      <c r="C14" s="3" t="s">
        <v>488</v>
      </c>
      <c r="D14" s="4">
        <f>'Closing TB'!F14*1</f>
        <v>14762500.0</v>
      </c>
    </row>
    <row r="15" spans="1:4" ht="32" customHeight="1">
      <c r="A15" s="3" t="s">
        <v>51</v>
      </c>
      <c r="B15" s="3" t="s">
        <v>52</v>
      </c>
      <c r="C15" s="3" t="s">
        <v>489</v>
      </c>
      <c r="D15" s="4">
        <f>'Closing TB'!F15*-1</f>
        <v>-235968.0</v>
      </c>
    </row>
    <row r="16" spans="1:4" ht="32" customHeight="1">
      <c r="A16" s="3" t="s">
        <v>53</v>
      </c>
      <c r="B16" s="3" t="s">
        <v>54</v>
      </c>
      <c r="C16" s="3" t="s">
        <v>488</v>
      </c>
      <c r="D16" s="4">
        <f>'Closing TB'!F16*1</f>
        <v>587500.0</v>
      </c>
    </row>
    <row r="17" spans="1:4" ht="32" customHeight="1">
      <c r="A17" s="3" t="s">
        <v>55</v>
      </c>
      <c r="B17" s="3" t="s">
        <v>56</v>
      </c>
      <c r="C17" s="3" t="s">
        <v>489</v>
      </c>
      <c r="D17" s="4">
        <f>'Closing TB'!F17*-1</f>
        <v>1607584.0</v>
      </c>
    </row>
    <row r="18" spans="1:4" ht="32" customHeight="1">
      <c r="A18" s="3" t="s">
        <v>57</v>
      </c>
      <c r="B18" s="3" t="s">
        <v>58</v>
      </c>
      <c r="C18" s="3" t="s">
        <v>489</v>
      </c>
      <c r="D18" s="4">
        <f>'Closing TB'!F18*-1</f>
        <v>1030000.0</v>
      </c>
    </row>
    <row r="19" spans="1:4" ht="32" customHeight="1">
      <c r="A19" s="3" t="s">
        <v>59</v>
      </c>
      <c r="B19" s="3" t="s">
        <v>60</v>
      </c>
      <c r="C19" s="3" t="s">
        <v>489</v>
      </c>
      <c r="D19" s="4">
        <f>'Closing TB'!F19*-1</f>
        <v>-0.0</v>
      </c>
    </row>
    <row r="20" spans="1:4" ht="32" customHeight="1">
      <c r="A20" s="3" t="s">
        <v>61</v>
      </c>
      <c r="B20" s="3" t="s">
        <v>62</v>
      </c>
      <c r="C20" s="3" t="s">
        <v>489</v>
      </c>
      <c r="D20" s="4">
        <f>'Closing TB'!F20*-1</f>
        <v>1750000.0</v>
      </c>
    </row>
    <row r="21" spans="1:4" ht="32" customHeight="1">
      <c r="A21" s="3" t="s">
        <v>63</v>
      </c>
      <c r="B21" s="3" t="s">
        <v>64</v>
      </c>
      <c r="C21" s="3" t="s">
        <v>489</v>
      </c>
      <c r="D21" s="4">
        <f>'Closing TB'!F21*-1</f>
        <v>234722.0</v>
      </c>
    </row>
    <row r="22" spans="1:4" ht="32" customHeight="1">
      <c r="A22" s="3" t="s">
        <v>65</v>
      </c>
      <c r="B22" s="3" t="s">
        <v>66</v>
      </c>
      <c r="C22" s="3" t="s">
        <v>489</v>
      </c>
      <c r="D22" s="4">
        <f>'Closing TB'!F22*-1</f>
        <v>600000.0</v>
      </c>
    </row>
    <row r="23" spans="1:4" ht="32" customHeight="1">
      <c r="A23" s="3" t="s">
        <v>67</v>
      </c>
      <c r="B23" s="3" t="s">
        <v>68</v>
      </c>
      <c r="C23" s="3" t="s">
        <v>489</v>
      </c>
      <c r="D23" s="4">
        <f>'Closing TB'!F23*-1</f>
        <v>21000000.0</v>
      </c>
    </row>
    <row r="24" spans="1:4" ht="32" customHeight="1">
      <c r="A24" s="3" t="s">
        <v>467</v>
      </c>
      <c r="B24" s="3" t="s">
        <v>468</v>
      </c>
      <c r="C24" s="3" t="s">
        <v>489</v>
      </c>
      <c r="D24" s="4">
        <f>'Closing TB'!F24*-1</f>
        <v>-0.0</v>
      </c>
    </row>
    <row r="25" spans="1:4" ht="32" customHeight="1">
      <c r="A25" s="3" t="s">
        <v>69</v>
      </c>
      <c r="B25" s="3" t="s">
        <v>70</v>
      </c>
      <c r="C25" s="3" t="s">
        <v>489</v>
      </c>
      <c r="D25" s="4">
        <f>'Closing TB'!F25*-1</f>
        <v>1966552.0</v>
      </c>
    </row>
    <row r="26" spans="1:4" ht="32" customHeight="1">
      <c r="A26" s="3" t="s">
        <v>295</v>
      </c>
      <c r="B26" s="3" t="s">
        <v>471</v>
      </c>
      <c r="C26" s="3" t="s">
        <v>489</v>
      </c>
      <c r="D26" s="4">
        <f>'Closing TB'!F27*-1</f>
        <v>-0.0</v>
      </c>
    </row>
    <row r="27" spans="1:4" ht="32" customHeight="1">
      <c r="A27" s="3" t="s">
        <v>71</v>
      </c>
      <c r="B27" s="3" t="s">
        <v>72</v>
      </c>
      <c r="C27" s="3" t="s">
        <v>490</v>
      </c>
      <c r="D27" s="4">
        <f>'Closing TB'!F28*-1</f>
        <v>56004880.0</v>
      </c>
    </row>
    <row r="28" spans="1:4" ht="32" customHeight="1">
      <c r="A28" s="3" t="s">
        <v>73</v>
      </c>
      <c r="B28" s="3" t="s">
        <v>74</v>
      </c>
      <c r="C28" s="3" t="s">
        <v>490</v>
      </c>
      <c r="D28" s="4">
        <f>'Closing TB'!F29*-1</f>
        <v>3091227.0</v>
      </c>
    </row>
    <row r="29" spans="1:4" ht="32" customHeight="1">
      <c r="B29" s="2" t="s">
        <v>491</v>
      </c>
      <c r="D29" s="4">
        <f>Statements!B7</f>
        <v>-82694.0</v>
      </c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2.7109375" customWidth="1"/>
    <col min="2" max="4" width="26.7109375" customWidth="1"/>
  </cols>
  <sheetData>
    <row r="1" spans="1:4">
      <c r="A1" s="1" t="s">
        <v>492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493</v>
      </c>
      <c r="B4" s="2" t="s">
        <v>401</v>
      </c>
      <c r="C4" s="2" t="s">
        <v>494</v>
      </c>
      <c r="D4" s="2" t="s">
        <v>403</v>
      </c>
    </row>
    <row r="5" spans="1:4" ht="32" customHeight="1">
      <c r="A5" s="3" t="s">
        <v>495</v>
      </c>
      <c r="B5" s="4">
        <f>SUM('Closing TB'!F5,'Closing TB'!F6,'Closing TB'!F7,'Closing TB'!F8,'Closing TB'!F9,'Closing TB'!F10,'Closing TB'!F11,'Closing TB'!F12,'Closing TB'!F13,'Closing TB'!F14,'Closing TB'!F16)</f>
        <v>86966303.0</v>
      </c>
      <c r="C5" s="4">
        <v>86966303</v>
      </c>
      <c r="D5" s="4">
        <f>B5-C5</f>
        <v>0</v>
      </c>
    </row>
    <row r="6" spans="1:4" ht="32" customHeight="1">
      <c r="A6" s="3" t="s">
        <v>496</v>
      </c>
      <c r="B6" s="4">
        <f>-SUM('Closing TB'!F15,'Closing TB'!F17,'Closing TB'!F18,'Closing TB'!F19,'Closing TB'!F20,'Closing TB'!F21,'Closing TB'!F22,'Closing TB'!F23,'Closing TB'!F24,'Closing TB'!F25,'Closing TB'!F27)</f>
        <v>27952890.0</v>
      </c>
      <c r="C6" s="4">
        <v>27952890</v>
      </c>
      <c r="D6" s="4">
        <f>B6-C6</f>
        <v>0</v>
      </c>
    </row>
    <row r="7" spans="1:4" ht="32" customHeight="1">
      <c r="A7" s="3" t="s">
        <v>427</v>
      </c>
      <c r="B7" s="4">
        <f>-SUM('Closing TB'!F30,'Closing TB'!F31,'Closing TB'!F32,'Closing TB'!F33,'Closing TB'!F34,'Closing TB'!F35,'Closing TB'!F36,'Closing TB'!F37,'Closing TB'!F38)</f>
        <v>-82694.0</v>
      </c>
      <c r="C7" s="4">
        <v>-82694</v>
      </c>
      <c r="D7" s="4">
        <f>B7-C7</f>
        <v>0</v>
      </c>
    </row>
    <row r="8" spans="1:4" ht="32" customHeight="1">
      <c r="A8" s="3" t="s">
        <v>497</v>
      </c>
      <c r="B8" s="4">
        <f>-SUM('Closing TB'!F28,'Closing TB'!F29) + B7</f>
        <v>59013413.0</v>
      </c>
      <c r="C8" s="4">
        <v>59013413</v>
      </c>
      <c r="D8" s="4">
        <f>B8-C8</f>
        <v>0</v>
      </c>
    </row>
    <row r="9" spans="1:4" ht="32" customHeight="1">
      <c r="A9" s="3" t="s">
        <v>498</v>
      </c>
      <c r="B9" s="4">
        <f>Opening!C5</f>
        <v>4198440.0</v>
      </c>
      <c r="C9" s="4">
        <v>4198440</v>
      </c>
      <c r="D9" s="4">
        <f>B9-C9</f>
        <v>0</v>
      </c>
    </row>
    <row r="10" spans="1:4" ht="32" customHeight="1">
      <c r="A10" s="3" t="s">
        <v>499</v>
      </c>
      <c r="B10" s="4">
        <f>'Closing TB'!F5</f>
        <v>3494528.0</v>
      </c>
      <c r="C10" s="4">
        <v>3494528</v>
      </c>
      <c r="D10" s="4">
        <f>B10-C10</f>
        <v>0</v>
      </c>
    </row>
    <row r="11" spans="1:4" ht="32" customHeight="1">
      <c r="A11" s="3" t="s">
        <v>500</v>
      </c>
      <c r="B11" s="4">
        <f>SUMIFS(Activity!F5:F278,Activity!B5:B278,"1000",Activity!G5:G278,"OPERATING")</f>
        <v>-3995.0</v>
      </c>
      <c r="C11" s="4">
        <v>-3995</v>
      </c>
      <c r="D11" s="4">
        <f>B11-C11</f>
        <v>0</v>
      </c>
    </row>
    <row r="12" spans="1:4" ht="32" customHeight="1">
      <c r="A12" s="3" t="s">
        <v>501</v>
      </c>
      <c r="B12" s="4">
        <f>SUMIFS(Activity!F5:F278,Activity!B5:B278,"1000",Activity!G5:G278,"INVESTING")</f>
        <v>-283250.0</v>
      </c>
      <c r="C12" s="4">
        <v>-283250</v>
      </c>
      <c r="D12" s="4">
        <f>B12-C12</f>
        <v>0</v>
      </c>
    </row>
    <row r="13" spans="1:4" ht="32" customHeight="1">
      <c r="A13" s="3" t="s">
        <v>502</v>
      </c>
      <c r="B13" s="4">
        <f>SUMIFS(Activity!F5:F278,Activity!B5:B278,"1000",Activity!G5:G278,"FINANCING")</f>
        <v>-416667.0</v>
      </c>
      <c r="C13" s="4">
        <v>-416667</v>
      </c>
      <c r="D13" s="4">
        <f>B13-C13</f>
        <v>0</v>
      </c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5.7109375" customWidth="1"/>
    <col min="2" max="2" width="12.7109375" customWidth="1"/>
    <col min="3" max="3" width="95.7109375" customWidth="1"/>
  </cols>
  <sheetData>
    <row r="1" spans="1:3">
      <c r="A1" s="1" t="s">
        <v>503</v>
      </c>
      <c r="B1" s="1"/>
      <c r="C1" s="1"/>
    </row>
    <row r="2" spans="1:3">
      <c r="A2" s="1"/>
      <c r="B2" s="1"/>
      <c r="C2" s="1"/>
    </row>
    <row r="4" spans="1:3" ht="32" customHeight="1">
      <c r="A4" s="2" t="s">
        <v>504</v>
      </c>
      <c r="B4" s="2" t="s">
        <v>505</v>
      </c>
      <c r="C4" s="2" t="s">
        <v>506</v>
      </c>
    </row>
    <row r="5" spans="1:3" ht="32" customHeight="1">
      <c r="A5" s="3" t="s">
        <v>507</v>
      </c>
      <c r="B5" s="4">
        <v>22</v>
      </c>
      <c r="C5" s="3" t="s">
        <v>508</v>
      </c>
    </row>
    <row r="6" spans="1:3" ht="32" customHeight="1">
      <c r="A6" s="3" t="s">
        <v>509</v>
      </c>
      <c r="B6" s="4">
        <v>274</v>
      </c>
      <c r="C6" s="3" t="s">
        <v>510</v>
      </c>
    </row>
    <row r="7" spans="1:3" ht="32" customHeight="1">
      <c r="A7" s="3" t="s">
        <v>511</v>
      </c>
      <c r="B7" s="4">
        <v>34</v>
      </c>
      <c r="C7" s="3" t="s">
        <v>512</v>
      </c>
    </row>
    <row r="8" spans="1:3" ht="32" customHeight="1">
      <c r="A8" s="3" t="s">
        <v>513</v>
      </c>
      <c r="B8" s="4">
        <v>1</v>
      </c>
      <c r="C8" s="3" t="s">
        <v>514</v>
      </c>
    </row>
    <row r="9" spans="1:3" ht="32" customHeight="1">
      <c r="A9" s="3" t="s">
        <v>515</v>
      </c>
      <c r="B9" s="4">
        <v>8</v>
      </c>
      <c r="C9" s="3" t="s">
        <v>516</v>
      </c>
    </row>
    <row r="10" spans="1:3" ht="32" customHeight="1">
      <c r="A10" s="3" t="s">
        <v>517</v>
      </c>
      <c r="B10" s="4">
        <v>1</v>
      </c>
      <c r="C10" s="3" t="s">
        <v>518</v>
      </c>
    </row>
    <row r="11" spans="1:3" ht="32" customHeight="1">
      <c r="A11" s="3" t="s">
        <v>519</v>
      </c>
      <c r="B11" s="4">
        <v>1</v>
      </c>
      <c r="C11" s="3" t="s">
        <v>520</v>
      </c>
    </row>
    <row r="12" spans="1:3" ht="32" customHeight="1">
      <c r="A12" s="3" t="s">
        <v>521</v>
      </c>
      <c r="B12" s="4">
        <v>33</v>
      </c>
      <c r="C12" s="3" t="s">
        <v>522</v>
      </c>
    </row>
  </sheetData>
  <mergeCells count="1">
    <mergeCell ref="A1:C2"/>
  </mergeCells>
  <pageMargins left="0.3" right="0.3" top="0.45" bottom="0.45" header="0.3" footer="0.3"/>
  <pageSetup paperSize="9" fitToHeight="0" orientation="landscape"/>
  <headerFooter>
    <oddHeader>&amp;LARU GROUP | JANUARY 2027&amp;RWORKED</oddHeader>
    <oddFooter>&amp;LDRAFT • Public forecast exercise&amp;RPage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Read first</vt:lpstr>
      <vt:lpstr>Opening</vt:lpstr>
      <vt:lpstr>Activity</vt:lpstr>
      <vt:lpstr>Bank events</vt:lpstr>
      <vt:lpstr>Bank inputs</vt:lpstr>
      <vt:lpstr>Receivables</vt:lpstr>
      <vt:lpstr>Payables</vt:lpstr>
      <vt:lpstr>Five reconciliations</vt:lpstr>
      <vt:lpstr>Debt</vt:lpstr>
      <vt:lpstr>PPE detail</vt:lpstr>
      <vt:lpstr>PPE</vt:lpstr>
      <vt:lpstr>Adjustments</vt:lpstr>
      <vt:lpstr>Closing TB</vt:lpstr>
      <vt:lpstr>Income statement</vt:lpstr>
      <vt:lpstr>Balance sheet</vt:lpstr>
      <vt:lpstr>Statements</vt:lpstr>
      <vt:lpstr>Source index</vt:lpstr>
      <vt:lpstr>Activity!Print_Area</vt:lpstr>
      <vt:lpstr>Adjustments!Print_Area</vt:lpstr>
      <vt:lpstr>'Balance sheet'!Print_Area</vt:lpstr>
      <vt:lpstr>'Bank events'!Print_Area</vt:lpstr>
      <vt:lpstr>'Bank inputs'!Print_Area</vt:lpstr>
      <vt:lpstr>'Closing TB'!Print_Area</vt:lpstr>
      <vt:lpstr>Debt!Print_Area</vt:lpstr>
      <vt:lpstr>'Five reconciliations'!Print_Area</vt:lpstr>
      <vt:lpstr>'Income statement'!Print_Area</vt:lpstr>
      <vt:lpstr>Opening!Print_Area</vt:lpstr>
      <vt:lpstr>Payables!Print_Area</vt:lpstr>
      <vt:lpstr>'PPE detail'!Print_Area</vt:lpstr>
      <vt:lpstr>PPE!Print_Area</vt:lpstr>
      <vt:lpstr>'Read first'!Print_Area</vt:lpstr>
      <vt:lpstr>Receivables!Print_Area</vt:lpstr>
      <vt:lpstr>'Source index'!Print_Area</vt:lpstr>
      <vt:lpstr>Statements!Print_Area</vt:lpstr>
      <vt:lpstr>Activity!Print_Titles</vt:lpstr>
      <vt:lpstr>Adjustments!Print_Titles</vt:lpstr>
      <vt:lpstr>'Balance sheet'!Print_Titles</vt:lpstr>
      <vt:lpstr>'Bank events'!Print_Titles</vt:lpstr>
      <vt:lpstr>'Bank inputs'!Print_Titles</vt:lpstr>
      <vt:lpstr>'Closing TB'!Print_Titles</vt:lpstr>
      <vt:lpstr>Debt!Print_Titles</vt:lpstr>
      <vt:lpstr>'Five reconciliations'!Print_Titles</vt:lpstr>
      <vt:lpstr>'Income statement'!Print_Titles</vt:lpstr>
      <vt:lpstr>Opening!Print_Titles</vt:lpstr>
      <vt:lpstr>Payables!Print_Titles</vt:lpstr>
      <vt:lpstr>'PPE detail'!Print_Titles</vt:lpstr>
      <vt:lpstr>PPE!Print_Titles</vt:lpstr>
      <vt:lpstr>'Read first'!Print_Titles</vt:lpstr>
      <vt:lpstr>Receivables!Print_Titles</vt:lpstr>
      <vt:lpstr>'Source index'!Print_Titles</vt:lpstr>
      <vt:lpstr>Statements!Print_Titles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ARU Group | January 2027 close</dc:title>
  <dc:creator>Sable Harbor</dc:creator>
  <cp:lastModifiedBy>Sable Harbor</cp:lastModifiedBy>
  <dcterms:created xsi:type="dcterms:W3CDTF">2026-09-13T00:00:00Z</dcterms:created>
  <dcterms:modified xsi:type="dcterms:W3CDTF">2026-09-13T00:00:00Z</dcterms:modified>
</cp:coreProperties>
</file>