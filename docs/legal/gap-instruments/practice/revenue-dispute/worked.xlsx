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Evidence!$A$1:$B$7</definedName>
    <definedName name="_xlnm.Print_Area" localSheetId="3">Findings!$A$1:$D$6</definedName>
    <definedName name="_xlnm.Print_Area" localSheetId="0">'Read first'!$A$1:$B$11</definedName>
    <definedName name="_xlnm.Print_Area" localSheetId="1">'Source inputs'!$A$1:$C$21</definedName>
    <definedName name="_xlnm.Print_Area" localSheetId="2">'Working paper'!$A$1:$C$13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<sst xmlns="http://schemas.openxmlformats.org/spreadsheetml/2006/main" count="116" uniqueCount="105">
  <si>
    <t>Foundry Field revenue and credit dispute</t>
  </si>
  <si>
    <t>PUBLIC WORKED EXAMPLE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</si>
  <si>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</si>
  <si>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</si>
  <si>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</si>
  <si>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</si>
  <si>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</si>
  <si>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Base scenario, January–October 2027; FF-003 term 0</t>
  </si>
  <si>
    <t>Scenario</t>
  </si>
  <si>
    <t>base</t>
  </si>
  <si>
    <t>Source revision</t>
  </si>
  <si>
    <t>57cfa1b1c483ccf1f8b15d82c4cbdadbeef8063e</t>
  </si>
  <si>
    <t>Mode</t>
  </si>
  <si>
    <t>Worked calculations and findings supplied.</t>
  </si>
  <si>
    <t>Method</t>
  </si>
  <si>
    <t>Read Evidence, then Source inputs. Complete Working paper and Findings. Compare the separate worked example only when ready.</t>
  </si>
  <si>
    <t>Limitations</t>
  </si>
  <si>
    <t>The accepted packet is reconstructed evidence, not an original invoice, signed SLA or bank confirmation. No revenue dispute outcome, customer consent or proposed billing identity is invented. Contract-wide recognition and pooled allowance entries are excluded; this is not a complete customer P&amp;L.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</si>
  <si>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</si>
  <si>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</si>
  <si>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</si>
  <si>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</si>
  <si>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</si>
  <si>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</si>
  <si>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Original invoice</t>
  </si>
  <si>
    <t>docs/finance/evidence/SH-FIN-HUMAN-001/source.json
rows.invoices; invoice_id=INV-base-FF-003-TERM-0; amount_usd</t>
  </si>
  <si>
    <t>2027-02-28 RECEIPT</t>
  </si>
  <si>
    <t>docs/finance/evidence/SH-FIN-HUMAN-001/source.json
base-02-COLLECTION-INV-base-FF-003-TERM-0</t>
  </si>
  <si>
    <t>2027-06-30 WRITEOFF</t>
  </si>
  <si>
    <t>docs/finance/evidence/SH-FIN-HUMAN-001/source.json
base-06-CREDIT_WRITEOFF-INV-base-FF-003-TERM-0</t>
  </si>
  <si>
    <t>2027-07-31 CREDIT</t>
  </si>
  <si>
    <t>docs/finance/evidence/SH-FIN-HUMAN-001/source.json
base-07-CREDIT_NOTE-SYN-INC-FF-003-INV-base-FF-003-TERM-0</t>
  </si>
  <si>
    <t>2027-08-31 CREDIT</t>
  </si>
  <si>
    <t>docs/finance/evidence/SH-FIN-HUMAN-001/source.json
base-08-CREDIT_NOTE-SYN-AMEND-003-INV-base-FF-003-TERM-0</t>
  </si>
  <si>
    <t>2027-10-31 RECOVERY</t>
  </si>
  <si>
    <t>docs/finance/evidence/SH-FIN-HUMAN-001/source.json
base-10-CREDIT_RECOVERY-INV-base-FF-003-TERM-0</t>
  </si>
  <si>
    <t>base-01-INVOICE-INV-base-FF-003-TERM-0: debit</t>
  </si>
  <si>
    <t>docs/finance/evidence/SH-FIN-HUMAN-001/source.json
rows.journal; source_id=base-01-INVOICE-INV-base-FF-003-TERM-0</t>
  </si>
  <si>
    <t>base-01-INVOICE-INV-base-FF-003-TERM-0: credit</t>
  </si>
  <si>
    <t>base-02-COLLECTION-INV-base-FF-003-TERM-0: debit</t>
  </si>
  <si>
    <t>docs/finance/evidence/SH-FIN-HUMAN-001/source.json
rows.journal; source_id=base-02-COLLECTION-INV-base-FF-003-TERM-0</t>
  </si>
  <si>
    <t>base-02-COLLECTION-INV-base-FF-003-TERM-0: credit</t>
  </si>
  <si>
    <t>base-06-CREDIT_WRITEOFF-INV-base-FF-003-TERM-0: debit</t>
  </si>
  <si>
    <t>docs/finance/evidence/SH-FIN-HUMAN-001/source.json
rows.journal; source_id=base-06-CREDIT_WRITEOFF-INV-base-FF-003-TERM-0</t>
  </si>
  <si>
    <t>base-06-CREDIT_WRITEOFF-INV-base-FF-003-TERM-0: credit</t>
  </si>
  <si>
    <t>base-07-CREDIT_NOTE-SYN-INC-FF-003-INV-base-FF-003-TERM-0: debit</t>
  </si>
  <si>
    <t>docs/finance/evidence/SH-FIN-HUMAN-001/source.json
rows.journal; source_id=base-07-CREDIT_NOTE-SYN-INC-FF-003-INV-base-FF-003-TERM-0</t>
  </si>
  <si>
    <t>base-07-CREDIT_NOTE-SYN-INC-FF-003-INV-base-FF-003-TERM-0: credit</t>
  </si>
  <si>
    <t>base-08-CREDIT_NOTE-SYN-AMEND-003-INV-base-FF-003-TERM-0: debit</t>
  </si>
  <si>
    <t>docs/finance/evidence/SH-FIN-HUMAN-001/source.json
rows.journal; source_id=base-08-CREDIT_NOTE-SYN-AMEND-003-INV-base-FF-003-TERM-0</t>
  </si>
  <si>
    <t>base-08-CREDIT_NOTE-SYN-AMEND-003-INV-base-FF-003-TERM-0: credit</t>
  </si>
  <si>
    <t>base-10-CREDIT_RECOVERY-INV-base-FF-003-TERM-0: debit</t>
  </si>
  <si>
    <t>docs/finance/evidence/SH-FIN-HUMAN-001/source.json
rows.journal; source_id=base-10-CREDIT_RECOVERY-INV-base-FF-003-TERM-0</t>
  </si>
  <si>
    <t>base-10-CREDIT_RECOVERY-INV-base-FF-003-TERM-0: credit</t>
  </si>
  <si>
    <t>Reperform the selected calculations</t>
  </si>
  <si>
    <t>Calculation</t>
  </si>
  <si>
    <t>Result USD</t>
  </si>
  <si>
    <t>Basis / explanation</t>
  </si>
  <si>
    <t>Closing ledger receivable</t>
  </si>
  <si>
    <t>Receivable is removed by writeoff, not full payment.</t>
  </si>
  <si>
    <t>Cash collections including recovery</t>
  </si>
  <si>
    <t>Recovery is already included in the released collected total.</t>
  </si>
  <si>
    <t>Credits against written-off claim</t>
  </si>
  <si>
    <t>Credits reduce the claim, with no refund in this selected packet.</t>
  </si>
  <si>
    <t>Surviving written-off claim</t>
  </si>
  <si>
    <t>Derived claim measure; not an asset newly recognized here.</t>
  </si>
  <si>
    <t>Event 1 journal difference</t>
  </si>
  <si>
    <t>base-01-INVOICE-INV-base-FF-003-TERM-0; two selected journal lines balance.</t>
  </si>
  <si>
    <t>Event 2 journal difference</t>
  </si>
  <si>
    <t>base-02-COLLECTION-INV-base-FF-003-TERM-0; two selected journal lines balance.</t>
  </si>
  <si>
    <t>Event 3 journal difference</t>
  </si>
  <si>
    <t>base-06-CREDIT_WRITEOFF-INV-base-FF-003-TERM-0; two selected journal lines balance.</t>
  </si>
  <si>
    <t>Event 4 journal difference</t>
  </si>
  <si>
    <t>base-07-CREDIT_NOTE-SYN-INC-FF-003-INV-base-FF-003-TERM-0; two selected journal lines balance.</t>
  </si>
  <si>
    <t>Event 5 journal difference</t>
  </si>
  <si>
    <t>base-08-CREDIT_NOTE-SYN-AMEND-003-INV-base-FF-003-TERM-0; two selected journal lines balance.</t>
  </si>
  <si>
    <t>Event 6 journal difference</t>
  </si>
  <si>
    <t>base-10-CREDIT_RECOVERY-INV-base-FF-003-TERM-0; two selected journal lines balance.</t>
  </si>
  <si>
    <t>Evidence conclusions and further requests</t>
  </si>
  <si>
    <t>Issue / question</t>
  </si>
  <si>
    <t>Supported finding</t>
  </si>
  <si>
    <t>Source / native reference</t>
  </si>
  <si>
    <t>Further evidence</t>
  </si>
  <si>
    <t>REV-F01: SLA_SERVICE_CREDIT: what is supported?</t>
  </si>
  <si>
    <t>The source credit debits BIZ_REVENUE, applies to a written-off claim and has no refund amount in this selected record.</t>
  </si>
  <si>
    <t>base-07-CREDIT_NOTE-SYN-INC-FF-003-INV-base-FF-003-TERM-0</t>
  </si>
  <si>
    <t>Underlying signed SLA or amendment and customer acceptance before asserting contractual validity.</t>
  </si>
  <si>
    <t>REV-F02: SYN-AMEND-003: what is supported?</t>
  </si>
  <si>
    <t>The source credit debits BIZ_DEFERRED, applies to a written-off claim and has no refund amount in this selected record.</t>
  </si>
  <si>
    <t>base-08-CREDIT_NOTE-SYN-AMEND-003-INV-base-FF-003-TERM-0</t>
  </si>
  <si>
    <t>REV-F03: Was the invoice paid in full?</t>
  </si>
  <si>
    <t>No such conclusion follows: modeled receipts plus recovery are less than billing, and writeoff explains zero ledger AR.</t>
  </si>
  <si>
    <t>INV-base-FF-003-TERM-0</t>
  </si>
  <si>
    <t>Independent collection confirmation would still be required to establish actual cash.</t>
  </si>
  <si>
    <t>Exact evidence selected for this example</t>
  </si>
  <si>
    <t>Repository path</t>
  </si>
  <si>
    <t>SHA-256</t>
  </si>
  <si>
    <t>docs/finance/evidence/SH-FIN-HUMAN-001/source.json</t>
  </si>
  <si>
    <t>c4833cfc6f28db6cd3edcae761b0e2d8f463a20de79f1d6fd5b0c517f8f829b7</t>
  </si>
  <si>
    <t>docs/finance/evidence/SH-FIN-HUMAN-001/PACKET.md</t>
  </si>
  <si>
    <t>1b7828cb0a69551ef5ff14fad874bdc6222f697679e4163933d3a6f85f27f60c</t>
  </si>
  <si>
    <t>docs/finance/evidence/SH-FIN-HUMAN-001/reconciliation.xlsx</t>
  </si>
  <si>
    <t>7077ec3ae8e796a6f94759fe19624ab51a11ac45b7ce538a0c447b4c9c384214</t>
  </si>
  <si>
    <t>docs/finance/evidence/SH-FIN-HUMAN-001/ACCEPTANCE.json</t>
  </si>
  <si>
    <t>6f521e7deb88875267ca705649e4db2dab8ca3dd5689c3cd22e8472fd5016f72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</si>
</sst>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8" customHeight="1">
      <c r="A5" s="2" t="s">
        <v>6</v>
      </c>
      <c r="B5" s="2" t="s">
        <v>7</v>
      </c>
    </row>
    <row r="6" spans="1:2" ht="30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38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28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53" customHeight="1">
      <c r="A4" s="2" t="s">
        <v>24</v>
      </c>
      <c r="B4" s="3">
        <v>1740000</v>
      </c>
      <c r="C4" s="2" t="s">
        <v>25</v>
      </c>
    </row>
    <row r="5" spans="1:3" ht="53" customHeight="1">
      <c r="A5" s="2" t="s">
        <v>26</v>
      </c>
      <c r="B5" s="3">
        <v>435000</v>
      </c>
      <c r="C5" s="2" t="s">
        <v>27</v>
      </c>
    </row>
    <row r="6" spans="1:3" ht="53" customHeight="1">
      <c r="A6" s="2" t="s">
        <v>28</v>
      </c>
      <c r="B6" s="3">
        <v>1305000</v>
      </c>
      <c r="C6" s="2" t="s">
        <v>29</v>
      </c>
    </row>
    <row r="7" spans="1:3" ht="53" customHeight="1">
      <c r="A7" s="2" t="s">
        <v>30</v>
      </c>
      <c r="B7" s="3">
        <v>14500</v>
      </c>
      <c r="C7" s="2" t="s">
        <v>31</v>
      </c>
    </row>
    <row r="8" spans="1:3" ht="53" customHeight="1">
      <c r="A8" s="2" t="s">
        <v>32</v>
      </c>
      <c r="B8" s="3">
        <v>145000</v>
      </c>
      <c r="C8" s="2" t="s">
        <v>33</v>
      </c>
    </row>
    <row r="9" spans="1:3" ht="53" customHeight="1">
      <c r="A9" s="2" t="s">
        <v>34</v>
      </c>
      <c r="B9" s="3">
        <v>174000</v>
      </c>
      <c r="C9" s="2" t="s">
        <v>35</v>
      </c>
    </row>
    <row r="10" spans="1:3" ht="53" customHeight="1">
      <c r="A10" s="2" t="s">
        <v>36</v>
      </c>
      <c r="B10" s="3">
        <v>1740000</v>
      </c>
      <c r="C10" s="2" t="s">
        <v>37</v>
      </c>
    </row>
    <row r="11" spans="1:3" ht="53" customHeight="1">
      <c r="A11" s="2" t="s">
        <v>38</v>
      </c>
      <c r="B11" s="3">
        <v>1740000</v>
      </c>
      <c r="C11" s="2" t="s">
        <v>37</v>
      </c>
    </row>
    <row r="12" spans="1:3" ht="53" customHeight="1">
      <c r="A12" s="2" t="s">
        <v>39</v>
      </c>
      <c r="B12" s="3">
        <v>435000</v>
      </c>
      <c r="C12" s="2" t="s">
        <v>40</v>
      </c>
    </row>
    <row r="13" spans="1:3" ht="53" customHeight="1">
      <c r="A13" s="2" t="s">
        <v>41</v>
      </c>
      <c r="B13" s="3">
        <v>435000</v>
      </c>
      <c r="C13" s="2" t="s">
        <v>40</v>
      </c>
    </row>
    <row r="14" spans="1:3" ht="68" customHeight="1">
      <c r="A14" s="2" t="s">
        <v>42</v>
      </c>
      <c r="B14" s="3">
        <v>1305000</v>
      </c>
      <c r="C14" s="2" t="s">
        <v>43</v>
      </c>
    </row>
    <row r="15" spans="1:3" ht="68" customHeight="1">
      <c r="A15" s="2" t="s">
        <v>44</v>
      </c>
      <c r="B15" s="3">
        <v>1305000</v>
      </c>
      <c r="C15" s="2" t="s">
        <v>43</v>
      </c>
    </row>
    <row r="16" spans="1:3" ht="68" customHeight="1">
      <c r="A16" s="2" t="s">
        <v>45</v>
      </c>
      <c r="B16" s="3">
        <v>14500</v>
      </c>
      <c r="C16" s="2" t="s">
        <v>46</v>
      </c>
    </row>
    <row r="17" spans="1:3" ht="68" customHeight="1">
      <c r="A17" s="2" t="s">
        <v>47</v>
      </c>
      <c r="B17" s="3">
        <v>14500</v>
      </c>
      <c r="C17" s="2" t="s">
        <v>46</v>
      </c>
    </row>
    <row r="18" spans="1:3" ht="68" customHeight="1">
      <c r="A18" s="2" t="s">
        <v>48</v>
      </c>
      <c r="B18" s="3">
        <v>145000</v>
      </c>
      <c r="C18" s="2" t="s">
        <v>49</v>
      </c>
    </row>
    <row r="19" spans="1:3" ht="68" customHeight="1">
      <c r="A19" s="2" t="s">
        <v>50</v>
      </c>
      <c r="B19" s="3">
        <v>145000</v>
      </c>
      <c r="C19" s="2" t="s">
        <v>49</v>
      </c>
    </row>
    <row r="20" spans="1:3" ht="68" customHeight="1">
      <c r="A20" s="2" t="s">
        <v>51</v>
      </c>
      <c r="B20" s="3">
        <v>174000</v>
      </c>
      <c r="C20" s="2" t="s">
        <v>52</v>
      </c>
    </row>
    <row r="21" spans="1:3" ht="68" customHeight="1">
      <c r="A21" s="2" t="s">
        <v>53</v>
      </c>
      <c r="B21" s="3">
        <v>174000</v>
      </c>
      <c r="C21" s="2" t="s">
        <v>52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54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55</v>
      </c>
      <c r="B3" s="1" t="s">
        <v>56</v>
      </c>
      <c r="C3" s="1" t="s">
        <v>57</v>
      </c>
    </row>
    <row r="4" spans="1:3" ht="38" customHeight="1">
      <c r="A4" s="2" t="s">
        <v>58</v>
      </c>
      <c r="B4" s="3">
        <f>'Source inputs'!B4-'Source inputs'!B5-'Source inputs'!B6</f>
        <v>0.0</v>
      </c>
      <c r="C4" s="2" t="s">
        <v>59</v>
      </c>
    </row>
    <row r="5" spans="1:3" ht="38" customHeight="1">
      <c r="A5" s="2" t="s">
        <v>60</v>
      </c>
      <c r="B5" s="3">
        <f>'Source inputs'!B5+'Source inputs'!B9</f>
        <v>609000.0</v>
      </c>
      <c r="C5" s="2" t="s">
        <v>61</v>
      </c>
    </row>
    <row r="6" spans="1:3" ht="38" customHeight="1">
      <c r="A6" s="2" t="s">
        <v>62</v>
      </c>
      <c r="B6" s="3">
        <f>'Source inputs'!B7+'Source inputs'!B8</f>
        <v>159500.0</v>
      </c>
      <c r="C6" s="2" t="s">
        <v>63</v>
      </c>
    </row>
    <row r="7" spans="1:3" ht="38" customHeight="1">
      <c r="A7" s="2" t="s">
        <v>64</v>
      </c>
      <c r="B7" s="3">
        <f>'Source inputs'!B6-'Source inputs'!B7-'Source inputs'!B8-'Source inputs'!B9</f>
        <v>971500.0</v>
      </c>
      <c r="C7" s="2" t="s">
        <v>65</v>
      </c>
    </row>
    <row r="8" spans="1:3" ht="38" customHeight="1">
      <c r="A8" s="2" t="s">
        <v>66</v>
      </c>
      <c r="B8" s="3">
        <f>'Source inputs'!B10-'Source inputs'!B11</f>
        <v>0.0</v>
      </c>
      <c r="C8" s="2" t="s">
        <v>67</v>
      </c>
    </row>
    <row r="9" spans="1:3" ht="38" customHeight="1">
      <c r="A9" s="2" t="s">
        <v>68</v>
      </c>
      <c r="B9" s="3">
        <f>'Source inputs'!B12-'Source inputs'!B13</f>
        <v>0.0</v>
      </c>
      <c r="C9" s="2" t="s">
        <v>69</v>
      </c>
    </row>
    <row r="10" spans="1:3" ht="53" customHeight="1">
      <c r="A10" s="2" t="s">
        <v>70</v>
      </c>
      <c r="B10" s="3">
        <f>'Source inputs'!B14-'Source inputs'!B15</f>
        <v>0.0</v>
      </c>
      <c r="C10" s="2" t="s">
        <v>71</v>
      </c>
    </row>
    <row r="11" spans="1:3" ht="53" customHeight="1">
      <c r="A11" s="2" t="s">
        <v>72</v>
      </c>
      <c r="B11" s="3">
        <f>'Source inputs'!B16-'Source inputs'!B17</f>
        <v>0.0</v>
      </c>
      <c r="C11" s="2" t="s">
        <v>73</v>
      </c>
    </row>
    <row r="12" spans="1:3" ht="53" customHeight="1">
      <c r="A12" s="2" t="s">
        <v>74</v>
      </c>
      <c r="B12" s="3">
        <f>'Source inputs'!B18-'Source inputs'!B19</f>
        <v>0.0</v>
      </c>
      <c r="C12" s="2" t="s">
        <v>75</v>
      </c>
    </row>
    <row r="13" spans="1:3" ht="53" customHeight="1">
      <c r="A13" s="2" t="s">
        <v>76</v>
      </c>
      <c r="B13" s="3">
        <f>'Source inputs'!B20-'Source inputs'!B21</f>
        <v>0.0</v>
      </c>
      <c r="C13" s="2" t="s">
        <v>77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78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79</v>
      </c>
      <c r="B3" s="1" t="s">
        <v>80</v>
      </c>
      <c r="C3" s="1" t="s">
        <v>81</v>
      </c>
      <c r="D3" s="1" t="s">
        <v>82</v>
      </c>
    </row>
    <row r="4" spans="1:4" ht="53" customHeight="1">
      <c r="A4" s="2" t="s">
        <v>83</v>
      </c>
      <c r="B4" s="2" t="s">
        <v>84</v>
      </c>
      <c r="C4" s="2" t="s">
        <v>85</v>
      </c>
      <c r="D4" s="2" t="s">
        <v>86</v>
      </c>
    </row>
    <row r="5" spans="1:4" ht="53" customHeight="1">
      <c r="A5" s="2" t="s">
        <v>87</v>
      </c>
      <c r="B5" s="2" t="s">
        <v>88</v>
      </c>
      <c r="C5" s="2" t="s">
        <v>89</v>
      </c>
      <c r="D5" s="2" t="s">
        <v>86</v>
      </c>
    </row>
    <row r="6" spans="1:4" ht="53" customHeight="1">
      <c r="A6" s="2" t="s">
        <v>90</v>
      </c>
      <c r="B6" s="2" t="s">
        <v>91</v>
      </c>
      <c r="C6" s="2" t="s">
        <v>92</v>
      </c>
      <c r="D6" s="2" t="s">
        <v>93</v>
      </c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94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95</v>
      </c>
      <c r="B3" s="1" t="s">
        <v>96</v>
      </c>
    </row>
    <row r="4" spans="1:2" ht="38" customHeight="1">
      <c r="A4" s="2" t="s">
        <v>97</v>
      </c>
      <c r="B4" s="2" t="s">
        <v>98</v>
      </c>
    </row>
    <row r="5" spans="1:2" ht="38" customHeight="1">
      <c r="A5" s="2" t="s">
        <v>99</v>
      </c>
      <c r="B5" s="2" t="s">
        <v>100</v>
      </c>
    </row>
    <row r="6" spans="1:2" ht="38" customHeight="1">
      <c r="A6" s="2" t="s">
        <v>101</v>
      </c>
      <c r="B6" s="2" t="s">
        <v>102</v>
      </c>
    </row>
    <row r="7" spans="1:2" ht="38" customHeight="1">
      <c r="A7" s="2" t="s">
        <v>103</v>
      </c>
      <c r="B7" s="2" t="s">
        <v>104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&amp;CSH-LEGAL-PRACTICE-REVENUE-DISPUTE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Foundry Field revenue and credit dispute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