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Source inputs" sheetId="2" r:id="rId2"/>
    <sheet name="Working paper" sheetId="3" r:id="rId3"/>
    <sheet name="Findings" sheetId="4" r:id="rId4"/>
    <sheet name="Evidence" sheetId="5" r:id="rId5"/>
  </sheets>
  <definedNames>
    <definedName name="_xlnm.Print_Area" localSheetId="4">Evidence!$A$1:$B$6</definedName>
    <definedName name="_xlnm.Print_Area" localSheetId="3">Findings!$A$1:$D$11</definedName>
    <definedName name="_xlnm.Print_Area" localSheetId="0">'Read first'!$A$1:$B$11</definedName>
    <definedName name="_xlnm.Print_Area" localSheetId="1">'Source inputs'!$A$1:$C$7</definedName>
    <definedName name="_xlnm.Print_Area" localSheetId="2">'Working paper'!$A$1:$C$5</definedName>
    <definedName name="_xlnm.Print_Titles" localSheetId="4">Evidence!$1:$3</definedName>
    <definedName name="_xlnm.Print_Titles" localSheetId="3">Findings!$1:$3</definedName>
    <definedName name="_xlnm.Print_Titles" localSheetId="0">'Read first'!$1:$3</definedName>
    <definedName name="_xlnm.Print_Titles" localSheetId="1">'Source inputs'!$1:$3</definedName>
    <definedName name="_xlnm.Print_Titles" localSheetId="2">'Working paper'!$1:$3</definedName>
  </definedNames>
  <calcPr calcId="124519" fullCalcOnLoad="1"/>
</workbook>
</file>

<file path=xl/sharedStrings.xml><?xml version="1.0" encoding="utf-8"?>
<sst xmlns="http://schemas.openxmlformats.org/spreadsheetml/2006/main" count="90" uniqueCount="80">
  <si>
    <t>Taylor–Red Wash legal due diligence</t>
  </si>
  <si>
    <t>PUBLIC WORKED EXAMPLE | Draft design for review</t>
  </si>
  <si>
    <t>Field</t>
  </si>
  <si>
    <t>Instruction</t>
  </si>
  <si>
    <t>Classification</t>
  </si>
  <si>
    <t>PUBLIC_WORKED_EXAMPLE; public learning material, not a private assessment key.</t>
  </si>
  <si>
    <t>Scope</t>
  </si>
  <si>
    <t>Agreement source effective July 7, 2026; publication cutoff September 5, 2026</t>
  </si>
  <si>
    <t>Scenario</t>
  </si>
  <si>
    <t>Selected source reconstruction; no operations scenario combined</t>
  </si>
  <si>
    <t>Source revision</t>
  </si>
  <si>
    <t>659a56747fe76522d18645ff115888c13fa8d2b0</t>
  </si>
  <si>
    <t>Mode</t>
  </si>
  <si>
    <t>Worked calculations and findings supplied.</t>
  </si>
  <si>
    <t>Method</t>
  </si>
  <si>
    <t>Read Evidence, then Source inputs. Complete Working paper and Findings. Compare the separate worked example only when ready.</t>
  </si>
  <si>
    <t>Limitations</t>
  </si>
  <si>
    <t>The accepted source is a reconstructed internal agreement summary, not an authentic executed agreement. An absent document in this selected packet does not prove it is absent everywhere or that a party breached. No legal enforceability opinion, shipment, payment deadline breach or uranium qualification is asserted.</t>
  </si>
  <si>
    <t>Approval</t>
  </si>
  <si>
    <t>Source-derived public answers are authorized; new workbook designs remain held for exact-file review.</t>
  </si>
  <si>
    <t>Selected source inputs — USD unless stated otherwise</t>
  </si>
  <si>
    <t>Measure</t>
  </si>
  <si>
    <t>Amount USD</t>
  </si>
  <si>
    <t>Source and native locator</t>
  </si>
  <si>
    <t>Acid rail rate per car</t>
  </si>
  <si>
    <t>industrial/transaction/08_INTERCOMPANY_LOGISTICS_AGREEMENT.md
Schedule A; Sulfuric acid row</t>
  </si>
  <si>
    <t>Acid terminal rate per car</t>
  </si>
  <si>
    <t>Four truck trips at stated rate (extended)</t>
  </si>
  <si>
    <t>Published source combined rate per car</t>
  </si>
  <si>
    <t>Reperform the selected calculations</t>
  </si>
  <si>
    <t>Calculation</t>
  </si>
  <si>
    <t>Result USD</t>
  </si>
  <si>
    <t>Basis / explanation</t>
  </si>
  <si>
    <t>Combined rate per car (not an invoice)</t>
  </si>
  <si>
    <t>Four road trips are priced, not one; no physical quantity ordered.</t>
  </si>
  <si>
    <t>Difference from source combined rate</t>
  </si>
  <si>
    <t>Arithmetic agreement does not establish delivered service.</t>
  </si>
  <si>
    <t>Evidence conclusions and further requests</t>
  </si>
  <si>
    <t>Issue / question</t>
  </si>
  <si>
    <t>Supported finding</t>
  </si>
  <si>
    <t>Source / native reference</t>
  </si>
  <si>
    <t>Further evidence</t>
  </si>
  <si>
    <t>LEGAL-F01: Who performs and bills?</t>
  </si>
  <si>
    <t>ARU supplies terminal/trucking; BS&amp;T supplies rail; RWH is customer. Billing agency does not merge the sellers.</t>
  </si>
  <si>
    <t>industrial/transaction/08_INTERCOMPANY_LOGISTICS_AGREEMENT.md — Parties, authority and term</t>
  </si>
  <si>
    <t>Verified signatures and invoice naming the actual performing seller.</t>
  </si>
  <si>
    <t>LEGAL-F02: Does planned capacity guarantee revenue?</t>
  </si>
  <si>
    <t>No minimum-volume guarantee or take-or-pay covenant is stated; unused slots produce no invoice.</t>
  </si>
  <si>
    <t>industrial/transaction/08_INTERCOMPANY_LOGISTICS_AGREEMENT.md — Schedule A — service and rates</t>
  </si>
  <si>
    <t>Actual quantities, source events and accepted rate version for a selected invoice.</t>
  </si>
  <si>
    <t>LEGAL-F03: Can you test a late-service breach?</t>
  </si>
  <si>
    <t>The source states 72 elapsed hours, 96 for steel, with a separate 36–48-hour operating goal. No selected shipment timestamps are supplied here.</t>
  </si>
  <si>
    <t>industrial/transaction/08_INTERCOMPANY_LOGISTICS_AGREEMENT.md — Schedule B — clock, free time and service remedies</t>
  </si>
  <si>
    <t>Interchange/empty-release timestamps, exclusions and responsibility evidence.</t>
  </si>
  <si>
    <t>LEGAL-F04: Is storage automatically chargeable?</t>
  </si>
  <si>
    <t>Only supported customer-caused occupancy after free time may receive the stated prorated charge; baseline has no chargeable dwell.</t>
  </si>
  <si>
    <t>Car, custody, start/end time, expiry, cause and charging entity; any third-party invoice.</t>
  </si>
  <si>
    <t>LEGAL-F05: Is uranium custody authorized?</t>
  </si>
  <si>
    <t>Finished uranium concentrate is excluded and direct product custody remains OPEN_GATED.</t>
  </si>
  <si>
    <t>industrial/transaction/08_INTERCOMPANY_LOGISTICS_AGREEMENT.md — Schedule C — custody, insurance and qualification</t>
  </si>
  <si>
    <t>Separate agreement and provider-specific qualification before any future activation.</t>
  </si>
  <si>
    <t>LEGAL-F06: Are insurance policies evidenced?</t>
  </si>
  <si>
    <t>The source states synthetic coverage assumptions, not insurer names, policies or certificates.</t>
  </si>
  <si>
    <t>Applicable policy/certificate and exclusions; no inference from a budget.</t>
  </si>
  <si>
    <t>LEGAL-F07: Who owns the Phase 1 assets?</t>
  </si>
  <si>
    <t>RWH owns the mine programme; ARU owns reusable Taylor infrastructure. Ownership and depreciation remain separate.</t>
  </si>
  <si>
    <t>industrial/transaction/08_INTERCOMPANY_LOGISTICS_AGREEMENT.md — Schedule D — assets, billing and termination</t>
  </si>
  <si>
    <t>Asset register and funding/acceptance evidence for any installed asset assertion.</t>
  </si>
  <si>
    <t>LEGAL-F08: Does next-month settlement prove timely payment?</t>
  </si>
  <si>
    <t>No. The source due period is 30 calendar days, while the model uses following-month settlement; exact invoice and payment dates are needed.</t>
  </si>
  <si>
    <t>Dated invoice and independent settlement reference for the selected obligation.</t>
  </si>
  <si>
    <t>Exact evidence selected for this example</t>
  </si>
  <si>
    <t>Repository path</t>
  </si>
  <si>
    <t>SHA-256</t>
  </si>
  <si>
    <t>industrial/transaction/08_INTERCOMPANY_LOGISTICS_AGREEMENT.md</t>
  </si>
  <si>
    <t>23153dc86a3e9ea9fd501bce6bdf3c8478dbdf3ab79fa5e8abc84ca8bbb771fc</t>
  </si>
  <si>
    <t>industrial/publications/SH-IND-IC-001_v1.0.0.pdf</t>
  </si>
  <si>
    <t>6edd5e8f041b09b9447f51dee8f0dcc1179b1a58083396230642e31f383134f1</t>
  </si>
  <si>
    <t>industrial/source/entities.json</t>
  </si>
  <si>
    <t>799a24baf3240d50c5d6a80ac0f9ddb9d023b7a36de058ec12546aac60caee29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</si>
</sst>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indent="1" wrapText="1"/>
    </xf>
    <xf numFmtId="164" fontId="0" fillId="0" borderId="0" xfId="0" applyNumberFormat="1" applyAlignment="1">
      <alignment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11"/>
  <sheetViews>
    <sheetView showGridLines="0" tabSelected="1" workbookViewId="0">
      <pane ySplit="3" topLeftCell="A4" activePane="bottomLeft" state="frozen"/>
      <selection pane="bottomLeft"/>
    </sheetView>
  </sheetViews>
  <sheetFormatPr defaultRowHeight="15"/>
  <cols>
    <col min="1" max="1" width="28.7109375" customWidth="1"/>
    <col min="2" max="2" width="95.7109375" customWidth="1"/>
  </cols>
  <sheetData>
    <row r="1" spans="1:2" ht="34" customHeight="1">
      <c r="A1" s="1" t="s">
        <v>0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2</v>
      </c>
      <c r="B3" s="1" t="s">
        <v>3</v>
      </c>
    </row>
    <row r="4" spans="1:2" ht="38" customHeight="1">
      <c r="A4" s="2" t="s">
        <v>4</v>
      </c>
      <c r="B4" s="2" t="s">
        <v>5</v>
      </c>
    </row>
    <row r="5" spans="1:2" ht="38" customHeight="1">
      <c r="A5" s="2" t="s">
        <v>6</v>
      </c>
      <c r="B5" s="2" t="s">
        <v>7</v>
      </c>
    </row>
    <row r="6" spans="1:2" ht="38" customHeight="1">
      <c r="A6" s="2" t="s">
        <v>8</v>
      </c>
      <c r="B6" s="2" t="s">
        <v>9</v>
      </c>
    </row>
    <row r="7" spans="1:2" ht="38" customHeight="1">
      <c r="A7" s="2" t="s">
        <v>10</v>
      </c>
      <c r="B7" s="2" t="s">
        <v>11</v>
      </c>
    </row>
    <row r="8" spans="1:2" ht="38" customHeight="1">
      <c r="A8" s="2" t="s">
        <v>12</v>
      </c>
      <c r="B8" s="2" t="s">
        <v>13</v>
      </c>
    </row>
    <row r="9" spans="1:2" ht="68" customHeight="1">
      <c r="A9" s="2" t="s">
        <v>14</v>
      </c>
      <c r="B9" s="2" t="s">
        <v>15</v>
      </c>
    </row>
    <row r="10" spans="1:2" ht="128" customHeight="1">
      <c r="A10" s="2" t="s">
        <v>16</v>
      </c>
      <c r="B10" s="2" t="s">
        <v>17</v>
      </c>
    </row>
    <row r="11" spans="1:2" ht="53" customHeight="1">
      <c r="A11" s="2" t="s">
        <v>18</v>
      </c>
      <c r="B11" s="2" t="s">
        <v>19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7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89.7109375" customWidth="1"/>
  </cols>
  <sheetData>
    <row r="1" spans="1:3" ht="34" customHeight="1">
      <c r="A1" s="1" t="s">
        <v>20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21</v>
      </c>
      <c r="B3" s="1" t="s">
        <v>22</v>
      </c>
      <c r="C3" s="1" t="s">
        <v>23</v>
      </c>
    </row>
    <row r="4" spans="1:3" ht="53" customHeight="1">
      <c r="A4" s="2" t="s">
        <v>24</v>
      </c>
      <c r="B4" s="3">
        <v>950</v>
      </c>
      <c r="C4" s="2" t="s">
        <v>25</v>
      </c>
    </row>
    <row r="5" spans="1:3" ht="53" customHeight="1">
      <c r="A5" s="2" t="s">
        <v>26</v>
      </c>
      <c r="B5" s="3">
        <v>700</v>
      </c>
      <c r="C5" s="2" t="s">
        <v>25</v>
      </c>
    </row>
    <row r="6" spans="1:3" ht="53" customHeight="1">
      <c r="A6" s="2" t="s">
        <v>27</v>
      </c>
      <c r="B6" s="3">
        <v>1360</v>
      </c>
      <c r="C6" s="2" t="s">
        <v>25</v>
      </c>
    </row>
    <row r="7" spans="1:3" ht="53" customHeight="1">
      <c r="A7" s="2" t="s">
        <v>28</v>
      </c>
      <c r="B7" s="3">
        <v>3010</v>
      </c>
      <c r="C7" s="2" t="s">
        <v>25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5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44.7109375" customWidth="1"/>
    <col min="2" max="2" width="22.7109375" customWidth="1"/>
    <col min="3" max="3" width="85.7109375" customWidth="1"/>
  </cols>
  <sheetData>
    <row r="1" spans="1:3" ht="34" customHeight="1">
      <c r="A1" s="1" t="s">
        <v>29</v>
      </c>
      <c r="B1" s="1"/>
      <c r="C1" s="1"/>
    </row>
    <row r="2" spans="1:3" ht="28" customHeight="1">
      <c r="A2" s="2" t="s">
        <v>1</v>
      </c>
      <c r="B2" s="2"/>
      <c r="C2" s="2"/>
    </row>
    <row r="3" spans="1:3" ht="32" customHeight="1">
      <c r="A3" s="1" t="s">
        <v>30</v>
      </c>
      <c r="B3" s="1" t="s">
        <v>31</v>
      </c>
      <c r="C3" s="1" t="s">
        <v>32</v>
      </c>
    </row>
    <row r="4" spans="1:3" ht="38" customHeight="1">
      <c r="A4" s="2" t="s">
        <v>33</v>
      </c>
      <c r="B4" s="3">
        <f>'Source inputs'!B4+'Source inputs'!B5+'Source inputs'!B6</f>
        <v>3010.0</v>
      </c>
      <c r="C4" s="2" t="s">
        <v>34</v>
      </c>
    </row>
    <row r="5" spans="1:3" ht="38" customHeight="1">
      <c r="A5" s="2" t="s">
        <v>35</v>
      </c>
      <c r="B5" s="3">
        <f>'Source inputs'!B4+'Source inputs'!B5+'Source inputs'!B6-'Source inputs'!B7</f>
        <v>0.0</v>
      </c>
      <c r="C5" s="2" t="s">
        <v>36</v>
      </c>
    </row>
  </sheetData>
  <mergeCells count="2">
    <mergeCell ref="A1:C1"/>
    <mergeCell ref="A2:C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1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49.7109375" customWidth="1"/>
    <col min="3" max="3" width="47.7109375" customWidth="1"/>
    <col min="4" max="4" width="48.7109375" customWidth="1"/>
  </cols>
  <sheetData>
    <row r="1" spans="1:4" ht="34" customHeight="1">
      <c r="A1" s="1" t="s">
        <v>37</v>
      </c>
      <c r="B1" s="1"/>
      <c r="C1" s="1"/>
      <c r="D1" s="1"/>
    </row>
    <row r="2" spans="1:4" ht="28" customHeight="1">
      <c r="A2" s="2" t="s">
        <v>1</v>
      </c>
      <c r="B2" s="2"/>
      <c r="C2" s="2"/>
      <c r="D2" s="2"/>
    </row>
    <row r="3" spans="1:4" ht="32" customHeight="1">
      <c r="A3" s="1" t="s">
        <v>38</v>
      </c>
      <c r="B3" s="1" t="s">
        <v>39</v>
      </c>
      <c r="C3" s="1" t="s">
        <v>40</v>
      </c>
      <c r="D3" s="1" t="s">
        <v>41</v>
      </c>
    </row>
    <row r="4" spans="1:4" ht="53" customHeight="1">
      <c r="A4" s="2" t="s">
        <v>42</v>
      </c>
      <c r="B4" s="2" t="s">
        <v>43</v>
      </c>
      <c r="C4" s="2" t="s">
        <v>44</v>
      </c>
      <c r="D4" s="2" t="s">
        <v>45</v>
      </c>
    </row>
    <row r="5" spans="1:4" ht="53" customHeight="1">
      <c r="A5" s="2" t="s">
        <v>46</v>
      </c>
      <c r="B5" s="2" t="s">
        <v>47</v>
      </c>
      <c r="C5" s="2" t="s">
        <v>48</v>
      </c>
      <c r="D5" s="2" t="s">
        <v>49</v>
      </c>
    </row>
    <row r="6" spans="1:4" ht="68" customHeight="1">
      <c r="A6" s="2" t="s">
        <v>50</v>
      </c>
      <c r="B6" s="2" t="s">
        <v>51</v>
      </c>
      <c r="C6" s="2" t="s">
        <v>52</v>
      </c>
      <c r="D6" s="2" t="s">
        <v>53</v>
      </c>
    </row>
    <row r="7" spans="1:4" ht="68" customHeight="1">
      <c r="A7" s="2" t="s">
        <v>54</v>
      </c>
      <c r="B7" s="2" t="s">
        <v>55</v>
      </c>
      <c r="C7" s="2" t="s">
        <v>52</v>
      </c>
      <c r="D7" s="2" t="s">
        <v>56</v>
      </c>
    </row>
    <row r="8" spans="1:4" ht="53" customHeight="1">
      <c r="A8" s="2" t="s">
        <v>57</v>
      </c>
      <c r="B8" s="2" t="s">
        <v>58</v>
      </c>
      <c r="C8" s="2" t="s">
        <v>59</v>
      </c>
      <c r="D8" s="2" t="s">
        <v>60</v>
      </c>
    </row>
    <row r="9" spans="1:4" ht="53" customHeight="1">
      <c r="A9" s="2" t="s">
        <v>61</v>
      </c>
      <c r="B9" s="2" t="s">
        <v>62</v>
      </c>
      <c r="C9" s="2" t="s">
        <v>59</v>
      </c>
      <c r="D9" s="2" t="s">
        <v>63</v>
      </c>
    </row>
    <row r="10" spans="1:4" ht="53" customHeight="1">
      <c r="A10" s="2" t="s">
        <v>64</v>
      </c>
      <c r="B10" s="2" t="s">
        <v>65</v>
      </c>
      <c r="C10" s="2" t="s">
        <v>66</v>
      </c>
      <c r="D10" s="2" t="s">
        <v>67</v>
      </c>
    </row>
    <row r="11" spans="1:4" ht="68" customHeight="1">
      <c r="A11" s="2" t="s">
        <v>68</v>
      </c>
      <c r="B11" s="2" t="s">
        <v>69</v>
      </c>
      <c r="C11" s="2" t="s">
        <v>66</v>
      </c>
      <c r="D11" s="2" t="s">
        <v>70</v>
      </c>
    </row>
  </sheetData>
  <mergeCells count="2">
    <mergeCell ref="A1:D1"/>
    <mergeCell ref="A2:D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6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88.7109375" customWidth="1"/>
    <col min="2" max="2" width="72.7109375" customWidth="1"/>
  </cols>
  <sheetData>
    <row r="1" spans="1:2" ht="34" customHeight="1">
      <c r="A1" s="1" t="s">
        <v>71</v>
      </c>
      <c r="B1" s="1"/>
    </row>
    <row r="2" spans="1:2" ht="28" customHeight="1">
      <c r="A2" s="2" t="s">
        <v>1</v>
      </c>
      <c r="B2" s="2"/>
    </row>
    <row r="3" spans="1:2" ht="32" customHeight="1">
      <c r="A3" s="1" t="s">
        <v>72</v>
      </c>
      <c r="B3" s="1" t="s">
        <v>73</v>
      </c>
    </row>
    <row r="4" spans="1:2" ht="38" customHeight="1">
      <c r="A4" s="2" t="s">
        <v>74</v>
      </c>
      <c r="B4" s="2" t="s">
        <v>75</v>
      </c>
    </row>
    <row r="5" spans="1:2" ht="38" customHeight="1">
      <c r="A5" s="2" t="s">
        <v>76</v>
      </c>
      <c r="B5" s="2" t="s">
        <v>77</v>
      </c>
    </row>
    <row r="6" spans="1:2" ht="38" customHeight="1">
      <c r="A6" s="2" t="s">
        <v>78</v>
      </c>
      <c r="B6" s="2" t="s">
        <v>79</v>
      </c>
    </row>
  </sheetData>
  <mergeCells count="2">
    <mergeCell ref="A1:B1"/>
    <mergeCell ref="A2:B2"/>
  </mergeCells>
  <pageMargins left="0.3" right="0.3" top="0.4" bottom="0.6" header="0.3" footer="0.2"/>
  <pageSetup paperSize="8" fitToHeight="0" orientation="landscape"/>
  <headerFooter>
    <oddFooter>&amp;CSH-LEGAL-PRACTICE-LEGAL-DUE-DILIGENCE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 first</vt:lpstr>
      <vt:lpstr>Source inputs</vt:lpstr>
      <vt:lpstr>Working paper</vt:lpstr>
      <vt:lpstr>Findings</vt:lpstr>
      <vt:lpstr>Evidence</vt:lpstr>
      <vt:lpstr>Evidence!Print_Area</vt:lpstr>
      <vt:lpstr>Findings!Print_Area</vt:lpstr>
      <vt:lpstr>'Read first'!Print_Area</vt:lpstr>
      <vt:lpstr>'Source inputs'!Print_Area</vt:lpstr>
      <vt:lpstr>'Working paper'!Print_Area</vt:lpstr>
      <vt:lpstr>Evidence!Print_Titles</vt:lpstr>
      <vt:lpstr>Findings!Print_Titles</vt:lpstr>
      <vt:lpstr>'Read first'!Print_Titles</vt:lpstr>
      <vt:lpstr>'Source inputs'!Print_Titles</vt:lpstr>
      <vt:lpstr>'Working paper'!Print_Titles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Taylor–Red Wash legal due diligence</dc:title>
  <dc:creator/>
  <dc:description>PUBLIC_WORKED_EXAMPLE; draft design</dc:description>
  <cp:lastModifiedBy/>
  <dcterms:created xsi:type="dcterms:W3CDTF">2026-09-12T00:00:00Z</dcterms:created>
  <dcterms:modified xsi:type="dcterms:W3CDTF">2026-09-12T00:00:00Z</dcterms:modified>
</cp:coreProperties>
</file>