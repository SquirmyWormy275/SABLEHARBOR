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Source inputs" sheetId="2" r:id="rId2"/>
    <sheet name="Working paper" sheetId="3" r:id="rId3"/>
    <sheet name="Findings" sheetId="4" r:id="rId4"/>
    <sheet name="Evidence" sheetId="5" r:id="rId5"/>
  </sheets>
  <definedNames>
    <definedName name="_xlnm.Print_Area" localSheetId="4">Evidence!$A$1:$B$9</definedName>
    <definedName name="_xlnm.Print_Area" localSheetId="3">Findings!$A$1:$D$5</definedName>
    <definedName name="_xlnm.Print_Area" localSheetId="0">'Read first'!$A$1:$B$11</definedName>
    <definedName name="_xlnm.Print_Area" localSheetId="1">'Source inputs'!$A$1:$C$44</definedName>
    <definedName name="_xlnm.Print_Area" localSheetId="2">'Working paper'!$A$1:$C$12</definedName>
    <definedName name="_xlnm.Print_Titles" localSheetId="4">Evidence!$1:$3</definedName>
    <definedName name="_xlnm.Print_Titles" localSheetId="3">Findings!$1:$3</definedName>
    <definedName name="_xlnm.Print_Titles" localSheetId="0">'Read first'!$1:$3</definedName>
    <definedName name="_xlnm.Print_Titles" localSheetId="1">'Source inputs'!$1:$3</definedName>
    <definedName name="_xlnm.Print_Titles" localSheetId="2">'Working paper'!$1:$3</definedName>
  </definedNames>
  <calcPr calcId="124519" fullCalcOnLoad="1"/>
</workbook>
</file>

<file path=xl/sharedStrings.xml><?xml version="1.0" encoding="utf-8"?>
<sst xmlns="http://schemas.openxmlformats.org/spreadsheetml/2006/main" count="160" uniqueCount="155">
  <si>
    <t>ARU acquisition accounting</t>
  </si>
  <si>
    <t>PUBLIC WORKED EXAMPLE | Draft design for review</t>
  </si>
  <si>
    <t>Field</t>
  </si>
  <si>
    <t>Instruction</t>
  </si>
  <si>
    <t>Classification</t>
  </si>
  <si>
    <t>PUBLIC_WORKED_EXAMPLE; public learning material, not a private assessment key.</t>
  </si>
  <si>
    <t>Scope</t>
  </si>
  <si>
    <t>January 7, 2026 acquisition opening</t>
  </si>
  <si>
    <t>Scenario</t>
  </si>
  <si>
    <t>Selected source reconstruction; no operations scenario combined</t>
  </si>
  <si>
    <t>Source revision</t>
  </si>
  <si>
    <t>8898d2d0310a60bdf0e4753036790c6eda1388cd</t>
  </si>
  <si>
    <t>Mode</t>
  </si>
  <si>
    <t>Worked calculations and findings supplied.</t>
  </si>
  <si>
    <t>Method</t>
  </si>
  <si>
    <t>Read Evidence, then Source inputs. Complete Working paper and Findings. Compare the separate worked example only when ready.</t>
  </si>
  <si>
    <t>Limitations</t>
  </si>
  <si>
    <t>Selected industrial reconstruction; do not add it to the separate operations release. PPA and tax basis retain conditional model assumptions; no valuation or tax opinion is supplied. An opening group trial balance is not independently reconstructed statutory books for each subsidiary.</t>
  </si>
  <si>
    <t>Approval</t>
  </si>
  <si>
    <t>Source-derived public answers are authorized; new workbook designs remain held for exact-file review.</t>
  </si>
  <si>
    <t>Selected source inputs — USD unless stated otherwise</t>
  </si>
  <si>
    <t>Measure</t>
  </si>
  <si>
    <t>Amount USD</t>
  </si>
  <si>
    <t>Source and native locator</t>
  </si>
  <si>
    <t>Buyer stock consideration</t>
  </si>
  <si>
    <t>industrial/source/finance.json
transaction.buyer_consideration</t>
  </si>
  <si>
    <t>Old term and revolver payoff</t>
  </si>
  <si>
    <t>industrial/source/finance.json
transaction.existing_term_revolver_refinance</t>
  </si>
  <si>
    <t>New term debt</t>
  </si>
  <si>
    <t>industrial/source/finance.json
transaction.new_debt</t>
  </si>
  <si>
    <t>Parent equity before fees</t>
  </si>
  <si>
    <t>industrial/source/finance.json
transaction.parent_equity_before_fees</t>
  </si>
  <si>
    <t>Transaction services expense</t>
  </si>
  <si>
    <t>industrial/source/finance.json
transaction.transaction_expense</t>
  </si>
  <si>
    <t>Debt issuance cost</t>
  </si>
  <si>
    <t>industrial/source/finance.json
transaction.debt_issuance_cost</t>
  </si>
  <si>
    <t>Fair identifiable book net assets</t>
  </si>
  <si>
    <t>docs/finance/evidence/tax-transaction/CURRENT_SOURCE_BRIDGE.json
ppa.identifiable_net_assets_before_refinancing_usd</t>
  </si>
  <si>
    <t>Modeled adjusted grossed-up tax basis</t>
  </si>
  <si>
    <t>docs/finance/evidence/tax-transaction/CURRENT_SOURCE_BRIDGE.json
ppa.tax_allocation.modeled_agub_usd</t>
  </si>
  <si>
    <t>Other tax asset bases (sum)</t>
  </si>
  <si>
    <t>docs/finance/evidence/tax-transaction/CURRENT_SOURCE_BRIDGE.json
sum ppa.tax_allocation.other_tax_asset_bases_usd</t>
  </si>
  <si>
    <t>1000 Cash — debit</t>
  </si>
  <si>
    <t>docs/finance/evidence/tax-transaction/aru_acquisition_opening_trial_balance.csv
entity=ARU_GROUP; year=2026; account=1000; debit_balance_usd</t>
  </si>
  <si>
    <t>1000 Cash — credit</t>
  </si>
  <si>
    <t>docs/finance/evidence/tax-transaction/aru_acquisition_opening_trial_balance.csv
entity=ARU_GROUP; year=2026; account=1000; credit_balance_usd</t>
  </si>
  <si>
    <t>1100 External receivables, net of allowance — debit</t>
  </si>
  <si>
    <t>docs/finance/evidence/tax-transaction/aru_acquisition_opening_trial_balance.csv
entity=ARU_GROUP; year=2026; account=1100; debit_balance_usd</t>
  </si>
  <si>
    <t>1100 External receivables, net of allowance — credit</t>
  </si>
  <si>
    <t>docs/finance/evidence/tax-transaction/aru_acquisition_opening_trial_balance.csv
entity=ARU_GROUP; year=2026; account=1100; credit_balance_usd</t>
  </si>
  <si>
    <t>1200 Inventory cash cost — debit</t>
  </si>
  <si>
    <t>docs/finance/evidence/tax-transaction/aru_acquisition_opening_trial_balance.csv
entity=ARU_GROUP; year=2026; account=1200; debit_balance_usd</t>
  </si>
  <si>
    <t>1200 Inventory cash cost — credit</t>
  </si>
  <si>
    <t>docs/finance/evidence/tax-transaction/aru_acquisition_opening_trial_balance.csv
entity=ARU_GROUP; year=2026; account=1200; credit_balance_usd</t>
  </si>
  <si>
    <t>1300 Prepaids — debit</t>
  </si>
  <si>
    <t>docs/finance/evidence/tax-transaction/aru_acquisition_opening_trial_balance.csv
entity=ARU_GROUP; year=2026; account=1300; debit_balance_usd</t>
  </si>
  <si>
    <t>1300 Prepaids — credit</t>
  </si>
  <si>
    <t>docs/finance/evidence/tax-transaction/aru_acquisition_opening_trial_balance.csv
entity=ARU_GROUP; year=2026; account=1300; credit_balance_usd</t>
  </si>
  <si>
    <t>1400 PPE gross — debit</t>
  </si>
  <si>
    <t>docs/finance/evidence/tax-transaction/aru_acquisition_opening_trial_balance.csv
entity=ARU_GROUP; year=2026; account=1400; debit_balance_usd</t>
  </si>
  <si>
    <t>1400 PPE gross — credit</t>
  </si>
  <si>
    <t>docs/finance/evidence/tax-transaction/aru_acquisition_opening_trial_balance.csv
entity=ARU_GROUP; year=2026; account=1400; credit_balance_usd</t>
  </si>
  <si>
    <t>1500 Finance lease ROU gross — debit</t>
  </si>
  <si>
    <t>docs/finance/evidence/tax-transaction/aru_acquisition_opening_trial_balance.csv
entity=ARU_GROUP; year=2026; account=1500; debit_balance_usd</t>
  </si>
  <si>
    <t>1500 Finance lease ROU gross — credit</t>
  </si>
  <si>
    <t>docs/finance/evidence/tax-transaction/aru_acquisition_opening_trial_balance.csv
entity=ARU_GROUP; year=2026; account=1500; credit_balance_usd</t>
  </si>
  <si>
    <t>1600 Goodwill — debit</t>
  </si>
  <si>
    <t>docs/finance/evidence/tax-transaction/aru_acquisition_opening_trial_balance.csv
entity=ARU_GROUP; year=2026; account=1600; debit_balance_usd</t>
  </si>
  <si>
    <t>1600 Goodwill — credit</t>
  </si>
  <si>
    <t>docs/finance/evidence/tax-transaction/aru_acquisition_opening_trial_balance.csv
entity=ARU_GROUP; year=2026; account=1600; credit_balance_usd</t>
  </si>
  <si>
    <t>1700 Debt issuance cost, contra term debt — debit</t>
  </si>
  <si>
    <t>docs/finance/evidence/tax-transaction/aru_acquisition_opening_trial_balance.csv
entity=ARU_GROUP; year=2026; account=1700; debit_balance_usd</t>
  </si>
  <si>
    <t>1700 Debt issuance cost, contra term debt — credit</t>
  </si>
  <si>
    <t>docs/finance/evidence/tax-transaction/aru_acquisition_opening_trial_balance.csv
entity=ARU_GROUP; year=2026; account=1700; credit_balance_usd</t>
  </si>
  <si>
    <t>1800 Deferred tax asset on reserved liabilities — debit</t>
  </si>
  <si>
    <t>docs/finance/evidence/tax-transaction/aru_acquisition_opening_trial_balance.csv
entity=ARU_GROUP; year=2026; account=1800; debit_balance_usd</t>
  </si>
  <si>
    <t>1800 Deferred tax asset on reserved liabilities — credit</t>
  </si>
  <si>
    <t>docs/finance/evidence/tax-transaction/aru_acquisition_opening_trial_balance.csv
entity=ARU_GROUP; year=2026; account=1800; credit_balance_usd</t>
  </si>
  <si>
    <t>2000 Trade payables — debit</t>
  </si>
  <si>
    <t>docs/finance/evidence/tax-transaction/aru_acquisition_opening_trial_balance.csv
entity=ARU_GROUP; year=2026; account=2000; debit_balance_usd</t>
  </si>
  <si>
    <t>2000 Trade payables — credit</t>
  </si>
  <si>
    <t>docs/finance/evidence/tax-transaction/aru_acquisition_opening_trial_balance.csv
entity=ARU_GROUP; year=2026; account=2000; credit_balance_usd</t>
  </si>
  <si>
    <t>2100 Operating accruals — debit</t>
  </si>
  <si>
    <t>docs/finance/evidence/tax-transaction/aru_acquisition_opening_trial_balance.csv
entity=ARU_GROUP; year=2026; account=2100; debit_balance_usd</t>
  </si>
  <si>
    <t>2100 Operating accruals — credit</t>
  </si>
  <si>
    <t>docs/finance/evidence/tax-transaction/aru_acquisition_opening_trial_balance.csv
entity=ARU_GROUP; year=2026; account=2100; credit_balance_usd</t>
  </si>
  <si>
    <t>2200 Environmental reserve / ARO — debit</t>
  </si>
  <si>
    <t>docs/finance/evidence/tax-transaction/aru_acquisition_opening_trial_balance.csv
entity=ARU_GROUP; year=2026; account=2200; debit_balance_usd</t>
  </si>
  <si>
    <t>2200 Environmental reserve / ARO — credit</t>
  </si>
  <si>
    <t>docs/finance/evidence/tax-transaction/aru_acquisition_opening_trial_balance.csv
entity=ARU_GROUP; year=2026; account=2200; credit_balance_usd</t>
  </si>
  <si>
    <t>2300 Claim reserve / other liabilities — debit</t>
  </si>
  <si>
    <t>docs/finance/evidence/tax-transaction/aru_acquisition_opening_trial_balance.csv
entity=ARU_GROUP; year=2026; account=2300; debit_balance_usd</t>
  </si>
  <si>
    <t>2300 Claim reserve / other liabilities — credit</t>
  </si>
  <si>
    <t>docs/finance/evidence/tax-transaction/aru_acquisition_opening_trial_balance.csv
entity=ARU_GROUP; year=2026; account=2300; credit_balance_usd</t>
  </si>
  <si>
    <t>2400 Term debt face value — debit</t>
  </si>
  <si>
    <t>docs/finance/evidence/tax-transaction/aru_acquisition_opening_trial_balance.csv
entity=ARU_GROUP; year=2026; account=2400; debit_balance_usd</t>
  </si>
  <si>
    <t>2400 Term debt face value — credit</t>
  </si>
  <si>
    <t>docs/finance/evidence/tax-transaction/aru_acquisition_opening_trial_balance.csv
entity=ARU_GROUP; year=2026; account=2400; credit_balance_usd</t>
  </si>
  <si>
    <t>2600 Finance lease obligation — debit</t>
  </si>
  <si>
    <t>docs/finance/evidence/tax-transaction/aru_acquisition_opening_trial_balance.csv
entity=ARU_GROUP; year=2026; account=2600; debit_balance_usd</t>
  </si>
  <si>
    <t>2600 Finance lease obligation — credit</t>
  </si>
  <si>
    <t>docs/finance/evidence/tax-transaction/aru_acquisition_opening_trial_balance.csv
entity=ARU_GROUP; year=2026; account=2600; credit_balance_usd</t>
  </si>
  <si>
    <t>3000 Contributed equity — debit</t>
  </si>
  <si>
    <t>docs/finance/evidence/tax-transaction/aru_acquisition_opening_trial_balance.csv
entity=ARU_GROUP; year=2026; account=3000; debit_balance_usd</t>
  </si>
  <si>
    <t>3000 Contributed equity — credit</t>
  </si>
  <si>
    <t>docs/finance/evidence/tax-transaction/aru_acquisition_opening_trial_balance.csv
entity=ARU_GROUP; year=2026; account=3000; credit_balance_usd</t>
  </si>
  <si>
    <t>Reperform the selected calculations</t>
  </si>
  <si>
    <t>Calculation</t>
  </si>
  <si>
    <t>Result USD</t>
  </si>
  <si>
    <t>Basis / explanation</t>
  </si>
  <si>
    <t>Closing uses before fees</t>
  </si>
  <si>
    <t>Stock consideration includes escrow; retained leases are not paid off again.</t>
  </si>
  <si>
    <t>Closing sources before fees</t>
  </si>
  <si>
    <t>New term debt and parent equity finance the same uses.</t>
  </si>
  <si>
    <t>Funding reconciliation difference</t>
  </si>
  <si>
    <t>Zero means this selected funding bridge reconciles, not that cash settled.</t>
  </si>
  <si>
    <t>Parent cash including fees</t>
  </si>
  <si>
    <t>Fees are separate from stock consideration.</t>
  </si>
  <si>
    <t>Book goodwill residual</t>
  </si>
  <si>
    <t>Source-model residual; no invented operating-income plug.</t>
  </si>
  <si>
    <t>Tax goodwill residual</t>
  </si>
  <si>
    <t>Independent conditional tax allocation, not book goodwill copied into tax.</t>
  </si>
  <si>
    <t>Opening trial-balance debit total</t>
  </si>
  <si>
    <t>All 16 source accounts included.</t>
  </si>
  <si>
    <t>Opening trial-balance credit total</t>
  </si>
  <si>
    <t>Opening trial-balance difference</t>
  </si>
  <si>
    <t>Balanced group opening books do not certify external evidence.</t>
  </si>
  <si>
    <t>Evidence conclusions and further requests</t>
  </si>
  <si>
    <t>Issue / question</t>
  </si>
  <si>
    <t>Supported finding</t>
  </si>
  <si>
    <t>Source / native reference</t>
  </si>
  <si>
    <t>Further evidence</t>
  </si>
  <si>
    <t>ACQ-F01: What does ARU-CL-07 establish?</t>
  </si>
  <si>
    <t>The March 2 source records filing-ready review, not IRS submission or acceptance.</t>
  </si>
  <si>
    <t>industrial/transaction/05_ARU_CLOSING_AND_TAX_DELIVERY.md#delivery-register</t>
  </si>
  <si>
    <t>Actual submission/status evidence and qualified eligibility review.</t>
  </si>
  <si>
    <t>ACQ-F02: Why do the goodwill amounts differ?</t>
  </si>
  <si>
    <t>Book goodwill uses fair identifiable net assets including the conditional reserve DTA; tax goodwill uses separately modeled recognized liabilities and other tax bases.</t>
  </si>
  <si>
    <t>industrial/finance/TRANSACTION_ACCOUNTING.md#purchase-price-allocation</t>
  </si>
  <si>
    <t>Independent valuation and support for conditional tax classifications before external reliance.</t>
  </si>
  <si>
    <t>Exact evidence selected for this example</t>
  </si>
  <si>
    <t>Repository path</t>
  </si>
  <si>
    <t>SHA-256</t>
  </si>
  <si>
    <t>industrial/source/finance.json</t>
  </si>
  <si>
    <t>0d4461abfcdb138da36db503ff0cfea7c47ea7fd7109494126514225fd43e38c</t>
  </si>
  <si>
    <t>industrial/transaction/05_ARU_CLOSING_AND_TAX_DELIVERY.md</t>
  </si>
  <si>
    <t>a6dd448ed3a4a3ad6f0f3748e79dd918ea43c75685de762fe00843477a5d22c9</t>
  </si>
  <si>
    <t>industrial/finance/TRANSACTION_ACCOUNTING.md</t>
  </si>
  <si>
    <t>d13f142968958585cfc56a7b06d54b5e95bccef6d434d11bb6bba93933a0aa58</t>
  </si>
  <si>
    <t>docs/finance/evidence/tax-transaction/CURRENT_SOURCE_BRIDGE.json</t>
  </si>
  <si>
    <t>4e4c35d03d5613e0ef037d7dd14d27c250fa547fc29d2f93ddd1a1b25274e17c</t>
  </si>
  <si>
    <t>docs/finance/evidence/tax-transaction/aru_acquisition_opening_trial_balance.csv</t>
  </si>
  <si>
    <t>33a28e198a5ce5a5d35f751ca8a3fac6aefc04faba4329b6297c7cd560ca02d5</t>
  </si>
  <si>
    <t>industrial/publications/SH-IND-ARU-CLOSE-001_v1.0.0.pdf</t>
  </si>
  <si>
    <t>2db8049ce4ee571d4a681505321b73af49739adb2cbd86d1fae78e92082d7883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</si>
</sst>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indent="1" wrapText="1"/>
    </xf>
    <xf numFmtId="164" fontId="0" fillId="0" borderId="0" xfId="0" applyNumberFormat="1" applyAlignment="1">
      <alignment vertical="top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95.7109375" customWidth="1"/>
  </cols>
  <sheetData>
    <row r="1" spans="1:2" ht="34" customHeight="1">
      <c r="A1" s="1" t="s">
        <v>0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2</v>
      </c>
      <c r="B3" s="1" t="s">
        <v>3</v>
      </c>
    </row>
    <row r="4" spans="1:2" ht="38" customHeight="1">
      <c r="A4" s="2" t="s">
        <v>4</v>
      </c>
      <c r="B4" s="2" t="s">
        <v>5</v>
      </c>
    </row>
    <row r="5" spans="1:2" ht="30" customHeight="1">
      <c r="A5" s="2" t="s">
        <v>6</v>
      </c>
      <c r="B5" s="2" t="s">
        <v>7</v>
      </c>
    </row>
    <row r="6" spans="1:2" ht="38" customHeight="1">
      <c r="A6" s="2" t="s">
        <v>8</v>
      </c>
      <c r="B6" s="2" t="s">
        <v>9</v>
      </c>
    </row>
    <row r="7" spans="1:2" ht="38" customHeight="1">
      <c r="A7" s="2" t="s">
        <v>10</v>
      </c>
      <c r="B7" s="2" t="s">
        <v>11</v>
      </c>
    </row>
    <row r="8" spans="1:2" ht="38" customHeight="1">
      <c r="A8" s="2" t="s">
        <v>12</v>
      </c>
      <c r="B8" s="2" t="s">
        <v>13</v>
      </c>
    </row>
    <row r="9" spans="1:2" ht="68" customHeight="1">
      <c r="A9" s="2" t="s">
        <v>14</v>
      </c>
      <c r="B9" s="2" t="s">
        <v>15</v>
      </c>
    </row>
    <row r="10" spans="1:2" ht="128" customHeight="1">
      <c r="A10" s="2" t="s">
        <v>16</v>
      </c>
      <c r="B10" s="2" t="s">
        <v>17</v>
      </c>
    </row>
    <row r="11" spans="1:2" ht="53" customHeight="1">
      <c r="A11" s="2" t="s">
        <v>18</v>
      </c>
      <c r="B11" s="2" t="s">
        <v>19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&amp;CSH-LEGAL-PRACTICE-ACQUISITION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4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89.7109375" customWidth="1"/>
  </cols>
  <sheetData>
    <row r="1" spans="1:3" ht="34" customHeight="1">
      <c r="A1" s="1" t="s">
        <v>20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21</v>
      </c>
      <c r="B3" s="1" t="s">
        <v>22</v>
      </c>
      <c r="C3" s="1" t="s">
        <v>23</v>
      </c>
    </row>
    <row r="4" spans="1:3" ht="38" customHeight="1">
      <c r="A4" s="2" t="s">
        <v>24</v>
      </c>
      <c r="B4" s="3">
        <v>48000000</v>
      </c>
      <c r="C4" s="2" t="s">
        <v>25</v>
      </c>
    </row>
    <row r="5" spans="1:3" ht="38" customHeight="1">
      <c r="A5" s="2" t="s">
        <v>26</v>
      </c>
      <c r="B5" s="3">
        <v>13500000</v>
      </c>
      <c r="C5" s="2" t="s">
        <v>27</v>
      </c>
    </row>
    <row r="6" spans="1:3" ht="38" customHeight="1">
      <c r="A6" s="2" t="s">
        <v>28</v>
      </c>
      <c r="B6" s="3">
        <v>22500000</v>
      </c>
      <c r="C6" s="2" t="s">
        <v>29</v>
      </c>
    </row>
    <row r="7" spans="1:3" ht="38" customHeight="1">
      <c r="A7" s="2" t="s">
        <v>30</v>
      </c>
      <c r="B7" s="3">
        <v>39000000</v>
      </c>
      <c r="C7" s="2" t="s">
        <v>31</v>
      </c>
    </row>
    <row r="8" spans="1:3" ht="38" customHeight="1">
      <c r="A8" s="2" t="s">
        <v>32</v>
      </c>
      <c r="B8" s="3">
        <v>900000</v>
      </c>
      <c r="C8" s="2" t="s">
        <v>33</v>
      </c>
    </row>
    <row r="9" spans="1:3" ht="38" customHeight="1">
      <c r="A9" s="2" t="s">
        <v>34</v>
      </c>
      <c r="B9" s="3">
        <v>300000</v>
      </c>
      <c r="C9" s="2" t="s">
        <v>35</v>
      </c>
    </row>
    <row r="10" spans="1:3" ht="53" customHeight="1">
      <c r="A10" s="2" t="s">
        <v>36</v>
      </c>
      <c r="B10" s="3">
        <v>33237500</v>
      </c>
      <c r="C10" s="2" t="s">
        <v>37</v>
      </c>
    </row>
    <row r="11" spans="1:3" ht="53" customHeight="1">
      <c r="A11" s="2" t="s">
        <v>38</v>
      </c>
      <c r="B11" s="3">
        <v>68000000</v>
      </c>
      <c r="C11" s="2" t="s">
        <v>39</v>
      </c>
    </row>
    <row r="12" spans="1:3" ht="53" customHeight="1">
      <c r="A12" s="2" t="s">
        <v>40</v>
      </c>
      <c r="B12" s="3">
        <v>55000000</v>
      </c>
      <c r="C12" s="2" t="s">
        <v>41</v>
      </c>
    </row>
    <row r="13" spans="1:3" ht="68" customHeight="1">
      <c r="A13" s="2" t="s">
        <v>42</v>
      </c>
      <c r="B13" s="3">
        <v>2000000</v>
      </c>
      <c r="C13" s="2" t="s">
        <v>43</v>
      </c>
    </row>
    <row r="14" spans="1:3" ht="68" customHeight="1">
      <c r="A14" s="2" t="s">
        <v>44</v>
      </c>
      <c r="B14" s="3">
        <v>0</v>
      </c>
      <c r="C14" s="2" t="s">
        <v>45</v>
      </c>
    </row>
    <row r="15" spans="1:3" ht="68" customHeight="1">
      <c r="A15" s="2" t="s">
        <v>46</v>
      </c>
      <c r="B15" s="3">
        <v>6000000</v>
      </c>
      <c r="C15" s="2" t="s">
        <v>47</v>
      </c>
    </row>
    <row r="16" spans="1:3" ht="68" customHeight="1">
      <c r="A16" s="2" t="s">
        <v>48</v>
      </c>
      <c r="B16" s="3">
        <v>0</v>
      </c>
      <c r="C16" s="2" t="s">
        <v>49</v>
      </c>
    </row>
    <row r="17" spans="1:3" ht="68" customHeight="1">
      <c r="A17" s="2" t="s">
        <v>50</v>
      </c>
      <c r="B17" s="3">
        <v>1800000</v>
      </c>
      <c r="C17" s="2" t="s">
        <v>51</v>
      </c>
    </row>
    <row r="18" spans="1:3" ht="68" customHeight="1">
      <c r="A18" s="2" t="s">
        <v>52</v>
      </c>
      <c r="B18" s="3">
        <v>0</v>
      </c>
      <c r="C18" s="2" t="s">
        <v>53</v>
      </c>
    </row>
    <row r="19" spans="1:3" ht="68" customHeight="1">
      <c r="A19" s="2" t="s">
        <v>54</v>
      </c>
      <c r="B19" s="3">
        <v>700000</v>
      </c>
      <c r="C19" s="2" t="s">
        <v>55</v>
      </c>
    </row>
    <row r="20" spans="1:3" ht="68" customHeight="1">
      <c r="A20" s="2" t="s">
        <v>56</v>
      </c>
      <c r="B20" s="3">
        <v>0</v>
      </c>
      <c r="C20" s="2" t="s">
        <v>57</v>
      </c>
    </row>
    <row r="21" spans="1:3" ht="68" customHeight="1">
      <c r="A21" s="2" t="s">
        <v>58</v>
      </c>
      <c r="B21" s="3">
        <v>42000000</v>
      </c>
      <c r="C21" s="2" t="s">
        <v>59</v>
      </c>
    </row>
    <row r="22" spans="1:3" ht="68" customHeight="1">
      <c r="A22" s="2" t="s">
        <v>60</v>
      </c>
      <c r="B22" s="3">
        <v>0</v>
      </c>
      <c r="C22" s="2" t="s">
        <v>61</v>
      </c>
    </row>
    <row r="23" spans="1:3" ht="68" customHeight="1">
      <c r="A23" s="2" t="s">
        <v>62</v>
      </c>
      <c r="B23" s="3">
        <v>2500000</v>
      </c>
      <c r="C23" s="2" t="s">
        <v>63</v>
      </c>
    </row>
    <row r="24" spans="1:3" ht="68" customHeight="1">
      <c r="A24" s="2" t="s">
        <v>64</v>
      </c>
      <c r="B24" s="3">
        <v>0</v>
      </c>
      <c r="C24" s="2" t="s">
        <v>65</v>
      </c>
    </row>
    <row r="25" spans="1:3" ht="68" customHeight="1">
      <c r="A25" s="2" t="s">
        <v>66</v>
      </c>
      <c r="B25" s="3">
        <v>14762500</v>
      </c>
      <c r="C25" s="2" t="s">
        <v>67</v>
      </c>
    </row>
    <row r="26" spans="1:3" ht="68" customHeight="1">
      <c r="A26" s="2" t="s">
        <v>68</v>
      </c>
      <c r="B26" s="3">
        <v>0</v>
      </c>
      <c r="C26" s="2" t="s">
        <v>69</v>
      </c>
    </row>
    <row r="27" spans="1:3" ht="68" customHeight="1">
      <c r="A27" s="2" t="s">
        <v>70</v>
      </c>
      <c r="B27" s="3">
        <v>300000</v>
      </c>
      <c r="C27" s="2" t="s">
        <v>71</v>
      </c>
    </row>
    <row r="28" spans="1:3" ht="68" customHeight="1">
      <c r="A28" s="2" t="s">
        <v>72</v>
      </c>
      <c r="B28" s="3">
        <v>0</v>
      </c>
      <c r="C28" s="2" t="s">
        <v>73</v>
      </c>
    </row>
    <row r="29" spans="1:3" ht="68" customHeight="1">
      <c r="A29" s="2" t="s">
        <v>74</v>
      </c>
      <c r="B29" s="3">
        <v>587500</v>
      </c>
      <c r="C29" s="2" t="s">
        <v>75</v>
      </c>
    </row>
    <row r="30" spans="1:3" ht="68" customHeight="1">
      <c r="A30" s="2" t="s">
        <v>76</v>
      </c>
      <c r="B30" s="3">
        <v>0</v>
      </c>
      <c r="C30" s="2" t="s">
        <v>77</v>
      </c>
    </row>
    <row r="31" spans="1:3" ht="68" customHeight="1">
      <c r="A31" s="2" t="s">
        <v>78</v>
      </c>
      <c r="B31" s="3">
        <v>0</v>
      </c>
      <c r="C31" s="2" t="s">
        <v>79</v>
      </c>
    </row>
    <row r="32" spans="1:3" ht="68" customHeight="1">
      <c r="A32" s="2" t="s">
        <v>80</v>
      </c>
      <c r="B32" s="3">
        <v>3000000</v>
      </c>
      <c r="C32" s="2" t="s">
        <v>81</v>
      </c>
    </row>
    <row r="33" spans="1:3" ht="68" customHeight="1">
      <c r="A33" s="2" t="s">
        <v>82</v>
      </c>
      <c r="B33" s="3">
        <v>0</v>
      </c>
      <c r="C33" s="2" t="s">
        <v>83</v>
      </c>
    </row>
    <row r="34" spans="1:3" ht="68" customHeight="1">
      <c r="A34" s="2" t="s">
        <v>84</v>
      </c>
      <c r="B34" s="3">
        <v>1000000</v>
      </c>
      <c r="C34" s="2" t="s">
        <v>85</v>
      </c>
    </row>
    <row r="35" spans="1:3" ht="68" customHeight="1">
      <c r="A35" s="2" t="s">
        <v>86</v>
      </c>
      <c r="B35" s="3">
        <v>0</v>
      </c>
      <c r="C35" s="2" t="s">
        <v>87</v>
      </c>
    </row>
    <row r="36" spans="1:3" ht="68" customHeight="1">
      <c r="A36" s="2" t="s">
        <v>88</v>
      </c>
      <c r="B36" s="3">
        <v>1750000</v>
      </c>
      <c r="C36" s="2" t="s">
        <v>89</v>
      </c>
    </row>
    <row r="37" spans="1:3" ht="68" customHeight="1">
      <c r="A37" s="2" t="s">
        <v>90</v>
      </c>
      <c r="B37" s="3">
        <v>0</v>
      </c>
      <c r="C37" s="2" t="s">
        <v>91</v>
      </c>
    </row>
    <row r="38" spans="1:3" ht="68" customHeight="1">
      <c r="A38" s="2" t="s">
        <v>92</v>
      </c>
      <c r="B38" s="3">
        <v>600000</v>
      </c>
      <c r="C38" s="2" t="s">
        <v>93</v>
      </c>
    </row>
    <row r="39" spans="1:3" ht="68" customHeight="1">
      <c r="A39" s="2" t="s">
        <v>94</v>
      </c>
      <c r="B39" s="3">
        <v>0</v>
      </c>
      <c r="C39" s="2" t="s">
        <v>95</v>
      </c>
    </row>
    <row r="40" spans="1:3" ht="68" customHeight="1">
      <c r="A40" s="2" t="s">
        <v>96</v>
      </c>
      <c r="B40" s="3">
        <v>22500000</v>
      </c>
      <c r="C40" s="2" t="s">
        <v>97</v>
      </c>
    </row>
    <row r="41" spans="1:3" ht="68" customHeight="1">
      <c r="A41" s="2" t="s">
        <v>98</v>
      </c>
      <c r="B41" s="3">
        <v>0</v>
      </c>
      <c r="C41" s="2" t="s">
        <v>99</v>
      </c>
    </row>
    <row r="42" spans="1:3" ht="68" customHeight="1">
      <c r="A42" s="2" t="s">
        <v>100</v>
      </c>
      <c r="B42" s="3">
        <v>2500000</v>
      </c>
      <c r="C42" s="2" t="s">
        <v>101</v>
      </c>
    </row>
    <row r="43" spans="1:3" ht="68" customHeight="1">
      <c r="A43" s="2" t="s">
        <v>102</v>
      </c>
      <c r="B43" s="3">
        <v>0</v>
      </c>
      <c r="C43" s="2" t="s">
        <v>103</v>
      </c>
    </row>
    <row r="44" spans="1:3" ht="68" customHeight="1">
      <c r="A44" s="2" t="s">
        <v>104</v>
      </c>
      <c r="B44" s="3">
        <v>39300000</v>
      </c>
      <c r="C44" s="2" t="s">
        <v>105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&amp;CSH-LEGAL-PRACTICE-ACQUISITION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4.7109375" customWidth="1"/>
    <col min="2" max="2" width="22.7109375" customWidth="1"/>
    <col min="3" max="3" width="85.7109375" customWidth="1"/>
  </cols>
  <sheetData>
    <row r="1" spans="1:3" ht="34" customHeight="1">
      <c r="A1" s="1" t="s">
        <v>106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107</v>
      </c>
      <c r="B3" s="1" t="s">
        <v>108</v>
      </c>
      <c r="C3" s="1" t="s">
        <v>109</v>
      </c>
    </row>
    <row r="4" spans="1:3" ht="38" customHeight="1">
      <c r="A4" s="2" t="s">
        <v>110</v>
      </c>
      <c r="B4" s="3">
        <f>'Source inputs'!B4+'Source inputs'!B5</f>
        <v>61500000.0</v>
      </c>
      <c r="C4" s="2" t="s">
        <v>111</v>
      </c>
    </row>
    <row r="5" spans="1:3" ht="38" customHeight="1">
      <c r="A5" s="2" t="s">
        <v>112</v>
      </c>
      <c r="B5" s="3">
        <f>'Source inputs'!B6+'Source inputs'!B7</f>
        <v>61500000.0</v>
      </c>
      <c r="C5" s="2" t="s">
        <v>113</v>
      </c>
    </row>
    <row r="6" spans="1:3" ht="38" customHeight="1">
      <c r="A6" s="2" t="s">
        <v>114</v>
      </c>
      <c r="B6" s="3">
        <f>'Source inputs'!B4+'Source inputs'!B5-'Source inputs'!B6-'Source inputs'!B7</f>
        <v>0.0</v>
      </c>
      <c r="C6" s="2" t="s">
        <v>115</v>
      </c>
    </row>
    <row r="7" spans="1:3" ht="38" customHeight="1">
      <c r="A7" s="2" t="s">
        <v>116</v>
      </c>
      <c r="B7" s="3">
        <f>'Source inputs'!B7+'Source inputs'!B8+'Source inputs'!B9</f>
        <v>40200000.0</v>
      </c>
      <c r="C7" s="2" t="s">
        <v>117</v>
      </c>
    </row>
    <row r="8" spans="1:3" ht="38" customHeight="1">
      <c r="A8" s="2" t="s">
        <v>118</v>
      </c>
      <c r="B8" s="3">
        <f>'Source inputs'!B4-'Source inputs'!B10</f>
        <v>14762500.0</v>
      </c>
      <c r="C8" s="2" t="s">
        <v>119</v>
      </c>
    </row>
    <row r="9" spans="1:3" ht="38" customHeight="1">
      <c r="A9" s="2" t="s">
        <v>120</v>
      </c>
      <c r="B9" s="3">
        <f>'Source inputs'!B11-'Source inputs'!B12</f>
        <v>13000000.0</v>
      </c>
      <c r="C9" s="2" t="s">
        <v>121</v>
      </c>
    </row>
    <row r="10" spans="1:3" ht="30" customHeight="1">
      <c r="A10" s="2" t="s">
        <v>122</v>
      </c>
      <c r="B10" s="3">
        <f>'Source inputs'!B13+'Source inputs'!B15+'Source inputs'!B17+'Source inputs'!B19+'Source inputs'!B21+'Source inputs'!B23+'Source inputs'!B25+'Source inputs'!B27+'Source inputs'!B29+'Source inputs'!B31+'Source inputs'!B33+'Source inputs'!B35+'Source inputs'!B37+'Source inputs'!B39+'Source inputs'!B41+'Source inputs'!B43</f>
        <v>70650000.0</v>
      </c>
      <c r="C10" s="2" t="s">
        <v>123</v>
      </c>
    </row>
    <row r="11" spans="1:3" ht="38" customHeight="1">
      <c r="A11" s="2" t="s">
        <v>124</v>
      </c>
      <c r="B11" s="3">
        <f>'Source inputs'!B14+'Source inputs'!B16+'Source inputs'!B18+'Source inputs'!B20+'Source inputs'!B22+'Source inputs'!B24+'Source inputs'!B26+'Source inputs'!B28+'Source inputs'!B30+'Source inputs'!B32+'Source inputs'!B34+'Source inputs'!B36+'Source inputs'!B38+'Source inputs'!B40+'Source inputs'!B42+'Source inputs'!B44</f>
        <v>70650000.0</v>
      </c>
      <c r="C11" s="2" t="s">
        <v>123</v>
      </c>
    </row>
    <row r="12" spans="1:3" ht="38" customHeight="1">
      <c r="A12" s="2" t="s">
        <v>125</v>
      </c>
      <c r="B12" s="3">
        <f>'Source inputs'!B13-'Source inputs'!B14+'Source inputs'!B15-'Source inputs'!B16+'Source inputs'!B17-'Source inputs'!B18+'Source inputs'!B19-'Source inputs'!B20+'Source inputs'!B21-'Source inputs'!B22+'Source inputs'!B23-'Source inputs'!B24+'Source inputs'!B25-'Source inputs'!B26+'Source inputs'!B27-'Source inputs'!B28+'Source inputs'!B29-'Source inputs'!B30+'Source inputs'!B31-'Source inputs'!B32+'Source inputs'!B33-'Source inputs'!B34+'Source inputs'!B35-'Source inputs'!B36+'Source inputs'!B37-'Source inputs'!B38+'Source inputs'!B39-'Source inputs'!B40+'Source inputs'!B41-'Source inputs'!B42+'Source inputs'!B43-'Source inputs'!B44</f>
        <v>0.0</v>
      </c>
      <c r="C12" s="2" t="s">
        <v>126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&amp;CSH-LEGAL-PRACTICE-ACQUISITION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49.7109375" customWidth="1"/>
    <col min="3" max="3" width="47.7109375" customWidth="1"/>
    <col min="4" max="4" width="48.7109375" customWidth="1"/>
  </cols>
  <sheetData>
    <row r="1" spans="1:4" ht="34" customHeight="1">
      <c r="A1" s="1" t="s">
        <v>127</v>
      </c>
      <c r="B1" s="1"/>
      <c r="C1" s="1"/>
      <c r="D1" s="1"/>
    </row>
    <row r="2" spans="1:4" ht="28" customHeight="1">
      <c r="A2" s="2" t="s">
        <v>1</v>
      </c>
      <c r="B2" s="2"/>
      <c r="C2" s="2"/>
      <c r="D2" s="2"/>
    </row>
    <row r="3" spans="1:4" ht="32" customHeight="1">
      <c r="A3" s="1" t="s">
        <v>128</v>
      </c>
      <c r="B3" s="1" t="s">
        <v>129</v>
      </c>
      <c r="C3" s="1" t="s">
        <v>130</v>
      </c>
      <c r="D3" s="1" t="s">
        <v>131</v>
      </c>
    </row>
    <row r="4" spans="1:4" ht="53" customHeight="1">
      <c r="A4" s="2" t="s">
        <v>132</v>
      </c>
      <c r="B4" s="2" t="s">
        <v>133</v>
      </c>
      <c r="C4" s="2" t="s">
        <v>134</v>
      </c>
      <c r="D4" s="2" t="s">
        <v>135</v>
      </c>
    </row>
    <row r="5" spans="1:4" ht="83" customHeight="1">
      <c r="A5" s="2" t="s">
        <v>136</v>
      </c>
      <c r="B5" s="2" t="s">
        <v>137</v>
      </c>
      <c r="C5" s="2" t="s">
        <v>138</v>
      </c>
      <c r="D5" s="2" t="s">
        <v>139</v>
      </c>
    </row>
  </sheetData>
  <mergeCells count="2">
    <mergeCell ref="A1:D1"/>
    <mergeCell ref="A2:D2"/>
  </mergeCells>
  <pageMargins left="0.3" right="0.3" top="0.4" bottom="0.6" header="0.3" footer="0.2"/>
  <pageSetup paperSize="8" fitToHeight="0" orientation="landscape"/>
  <headerFooter>
    <oddFooter>&amp;CSH-LEGAL-PRACTICE-ACQUISITION |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88.7109375" customWidth="1"/>
    <col min="2" max="2" width="72.7109375" customWidth="1"/>
  </cols>
  <sheetData>
    <row r="1" spans="1:2" ht="34" customHeight="1">
      <c r="A1" s="1" t="s">
        <v>140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141</v>
      </c>
      <c r="B3" s="1" t="s">
        <v>142</v>
      </c>
    </row>
    <row r="4" spans="1:2" ht="38" customHeight="1">
      <c r="A4" s="2" t="s">
        <v>143</v>
      </c>
      <c r="B4" s="2" t="s">
        <v>144</v>
      </c>
    </row>
    <row r="5" spans="1:2" ht="38" customHeight="1">
      <c r="A5" s="2" t="s">
        <v>145</v>
      </c>
      <c r="B5" s="2" t="s">
        <v>146</v>
      </c>
    </row>
    <row r="6" spans="1:2" ht="38" customHeight="1">
      <c r="A6" s="2" t="s">
        <v>147</v>
      </c>
      <c r="B6" s="2" t="s">
        <v>148</v>
      </c>
    </row>
    <row r="7" spans="1:2" ht="38" customHeight="1">
      <c r="A7" s="2" t="s">
        <v>149</v>
      </c>
      <c r="B7" s="2" t="s">
        <v>150</v>
      </c>
    </row>
    <row r="8" spans="1:2" ht="53" customHeight="1">
      <c r="A8" s="2" t="s">
        <v>151</v>
      </c>
      <c r="B8" s="2" t="s">
        <v>152</v>
      </c>
    </row>
    <row r="9" spans="1:2" ht="38" customHeight="1">
      <c r="A9" s="2" t="s">
        <v>153</v>
      </c>
      <c r="B9" s="2" t="s">
        <v>154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&amp;CSH-LEGAL-PRACTICE-ACQUISITION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Read first</vt:lpstr>
      <vt:lpstr>Source inputs</vt:lpstr>
      <vt:lpstr>Working paper</vt:lpstr>
      <vt:lpstr>Findings</vt:lpstr>
      <vt:lpstr>Evidence</vt:lpstr>
      <vt:lpstr>Evidence!Print_Area</vt:lpstr>
      <vt:lpstr>Findings!Print_Area</vt:lpstr>
      <vt:lpstr>'Read first'!Print_Area</vt:lpstr>
      <vt:lpstr>'Source inputs'!Print_Area</vt:lpstr>
      <vt:lpstr>'Working paper'!Print_Area</vt:lpstr>
      <vt:lpstr>Evidence!Print_Titles</vt:lpstr>
      <vt:lpstr>Findings!Print_Titles</vt:lpstr>
      <vt:lpstr>'Read first'!Print_Titles</vt:lpstr>
      <vt:lpstr>'Source inputs'!Print_Titles</vt:lpstr>
      <vt:lpstr>'Working paper'!Print_Titles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ARU acquisition accounting</dc:title>
  <dc:creator/>
  <dc:description>PUBLIC_WORKED_EXAMPLE; draft design</dc:description>
  <cp:lastModifiedBy/>
  <dcterms:created xsi:type="dcterms:W3CDTF">2026-09-12T00:00:00Z</dcterms:created>
  <dcterms:modified xsi:type="dcterms:W3CDTF">2026-09-12T00:00:00Z</dcterms:modified>
</cp:coreProperties>
</file>