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Source inputs" sheetId="2" r:id="rId2"/>
    <sheet name="Working paper" sheetId="3" r:id="rId3"/>
    <sheet name="Findings" sheetId="4" r:id="rId4"/>
    <sheet name="Evidence" sheetId="5" r:id="rId5"/>
  </sheets>
  <definedNames>
    <definedName name="_xlnm.Print_Area" localSheetId="4">Evidence!$A$1:$B$8</definedName>
    <definedName name="_xlnm.Print_Area" localSheetId="3">Findings!$A$1:$D$4</definedName>
    <definedName name="_xlnm.Print_Area" localSheetId="0">'Read first'!$A$1:$B$11</definedName>
    <definedName name="_xlnm.Print_Area" localSheetId="1">'Source inputs'!$A$1:$C$45</definedName>
    <definedName name="_xlnm.Print_Area" localSheetId="2">'Working paper'!$A$1:$C$19</definedName>
    <definedName name="_xlnm.Print_Titles" localSheetId="4">Evidence!$1:$3</definedName>
    <definedName name="_xlnm.Print_Titles" localSheetId="3">Findings!$1:$3</definedName>
    <definedName name="_xlnm.Print_Titles" localSheetId="0">'Read first'!$1:$3</definedName>
    <definedName name="_xlnm.Print_Titles" localSheetId="1">'Source inputs'!$1:$3</definedName>
    <definedName name="_xlnm.Print_Titles" localSheetId="2">'Working paper'!$1:$3</definedName>
  </definedNames>
  <calcPr calcId="124519" fullCalcOnLoad="1"/>
</workbook>
</file>

<file path=xl/sharedStrings.xml><?xml version="1.0" encoding="utf-8"?>
<sst xmlns="http://schemas.openxmlformats.org/spreadsheetml/2006/main" count="170" uniqueCount="155">
  <si>
    <t>ARU debt reconciliation</t>
  </si>
  <si>
    <t>PUBLIC WORKED EXAMPLE | Draft design for review</t>
  </si>
  <si>
    <t>Field</t>
  </si>
  <si>
    <t>Instruction</t>
  </si>
  <si>
    <t>Classification</t>
  </si>
  <si>
    <t>PUBLIC_WORKED_EXAMPLE; public learning material, not a private assessment key.</t>
  </si>
  <si>
    <t>Scope</t>
  </si>
  <si>
    <t>January–December 2026 selected industrial debt model</t>
  </si>
  <si>
    <t>Scenario</t>
  </si>
  <si>
    <t>Selected source reconstruction; no operations scenario combined</t>
  </si>
  <si>
    <t>Source revision</t>
  </si>
  <si>
    <t>8898d2d0310a60bdf0e4753036790c6eda1388cd</t>
  </si>
  <si>
    <t>Mode</t>
  </si>
  <si>
    <t>Worked calculations and findings supplied.</t>
  </si>
  <si>
    <t>Method</t>
  </si>
  <si>
    <t>Read Evidence, then Source inputs. Complete Working paper and Findings. Compare the separate worked example only when ready.</t>
  </si>
  <si>
    <t>Limitations</t>
  </si>
  <si>
    <t>ACT/365 and the 6.75% rate are source model conventions, not a verified lender agreement. The twelve monthly rows are conditional modeled schedules; no bank settlement is proved. Do not add a revolver limit to drawn principal or expense debt issuance costs twice.</t>
  </si>
  <si>
    <t>Approval</t>
  </si>
  <si>
    <t>Source-derived public answers are authorized; new workbook designs remain held for exact-file review.</t>
  </si>
  <si>
    <t>Selected source inputs — USD unless stated otherwise</t>
  </si>
  <si>
    <t>Measure</t>
  </si>
  <si>
    <t>Amount USD</t>
  </si>
  <si>
    <t>Source and native locator</t>
  </si>
  <si>
    <t>Acquisition term advance</t>
  </si>
  <si>
    <t>industrial/source/finance.json
transaction funding bridge / advance</t>
  </si>
  <si>
    <t>Old term/revolver refinance</t>
  </si>
  <si>
    <t>industrial/source/finance.json
transaction funding bridge / payoff</t>
  </si>
  <si>
    <t>Upstream acquisition financing</t>
  </si>
  <si>
    <t>docs/finance/evidence/tax-transaction/CURRENT_SOURCE_BRIDGE.json
transaction funding bridge / upstream</t>
  </si>
  <si>
    <t>Month 1: Opening term principal</t>
  </si>
  <si>
    <t>docs/finance/evidence/tax-transaction/aru_2026_debt.csv
month=1; opening_term_usd</t>
  </si>
  <si>
    <t>Month 1: Term principal reduction</t>
  </si>
  <si>
    <t>docs/finance/evidence/tax-transaction/aru_2026_debt.csv
month=1; term_principal_usd</t>
  </si>
  <si>
    <t>Month 1: Closing term principal</t>
  </si>
  <si>
    <t>docs/finance/evidence/tax-transaction/aru_2026_debt.csv
month=1; closing_term_usd</t>
  </si>
  <si>
    <t>Month 2: Opening term principal</t>
  </si>
  <si>
    <t>docs/finance/evidence/tax-transaction/aru_2026_debt.csv
month=2; opening_term_usd</t>
  </si>
  <si>
    <t>Month 2: Term principal reduction</t>
  </si>
  <si>
    <t>docs/finance/evidence/tax-transaction/aru_2026_debt.csv
month=2; term_principal_usd</t>
  </si>
  <si>
    <t>Month 2: Closing term principal</t>
  </si>
  <si>
    <t>docs/finance/evidence/tax-transaction/aru_2026_debt.csv
month=2; closing_term_usd</t>
  </si>
  <si>
    <t>Month 3: Opening term principal</t>
  </si>
  <si>
    <t>docs/finance/evidence/tax-transaction/aru_2026_debt.csv
month=3; opening_term_usd</t>
  </si>
  <si>
    <t>Month 3: Term principal reduction</t>
  </si>
  <si>
    <t>docs/finance/evidence/tax-transaction/aru_2026_debt.csv
month=3; term_principal_usd</t>
  </si>
  <si>
    <t>Month 3: Closing term principal</t>
  </si>
  <si>
    <t>docs/finance/evidence/tax-transaction/aru_2026_debt.csv
month=3; closing_term_usd</t>
  </si>
  <si>
    <t>Month 4: Opening term principal</t>
  </si>
  <si>
    <t>docs/finance/evidence/tax-transaction/aru_2026_debt.csv
month=4; opening_term_usd</t>
  </si>
  <si>
    <t>Month 4: Term principal reduction</t>
  </si>
  <si>
    <t>docs/finance/evidence/tax-transaction/aru_2026_debt.csv
month=4; term_principal_usd</t>
  </si>
  <si>
    <t>Month 4: Closing term principal</t>
  </si>
  <si>
    <t>docs/finance/evidence/tax-transaction/aru_2026_debt.csv
month=4; closing_term_usd</t>
  </si>
  <si>
    <t>Month 5: Opening term principal</t>
  </si>
  <si>
    <t>docs/finance/evidence/tax-transaction/aru_2026_debt.csv
month=5; opening_term_usd</t>
  </si>
  <si>
    <t>Month 5: Term principal reduction</t>
  </si>
  <si>
    <t>docs/finance/evidence/tax-transaction/aru_2026_debt.csv
month=5; term_principal_usd</t>
  </si>
  <si>
    <t>Month 5: Closing term principal</t>
  </si>
  <si>
    <t>docs/finance/evidence/tax-transaction/aru_2026_debt.csv
month=5; closing_term_usd</t>
  </si>
  <si>
    <t>Month 6: Opening term principal</t>
  </si>
  <si>
    <t>docs/finance/evidence/tax-transaction/aru_2026_debt.csv
month=6; opening_term_usd</t>
  </si>
  <si>
    <t>Month 6: Term principal reduction</t>
  </si>
  <si>
    <t>docs/finance/evidence/tax-transaction/aru_2026_debt.csv
month=6; term_principal_usd</t>
  </si>
  <si>
    <t>Month 6: Closing term principal</t>
  </si>
  <si>
    <t>docs/finance/evidence/tax-transaction/aru_2026_debt.csv
month=6; closing_term_usd</t>
  </si>
  <si>
    <t>Month 7: Opening term principal</t>
  </si>
  <si>
    <t>docs/finance/evidence/tax-transaction/aru_2026_debt.csv
month=7; opening_term_usd</t>
  </si>
  <si>
    <t>Month 7: Term principal reduction</t>
  </si>
  <si>
    <t>docs/finance/evidence/tax-transaction/aru_2026_debt.csv
month=7; term_principal_usd</t>
  </si>
  <si>
    <t>Month 7: Closing term principal</t>
  </si>
  <si>
    <t>docs/finance/evidence/tax-transaction/aru_2026_debt.csv
month=7; closing_term_usd</t>
  </si>
  <si>
    <t>Month 8: Opening term principal</t>
  </si>
  <si>
    <t>docs/finance/evidence/tax-transaction/aru_2026_debt.csv
month=8; opening_term_usd</t>
  </si>
  <si>
    <t>Month 8: Term principal reduction</t>
  </si>
  <si>
    <t>docs/finance/evidence/tax-transaction/aru_2026_debt.csv
month=8; term_principal_usd</t>
  </si>
  <si>
    <t>Month 8: Closing term principal</t>
  </si>
  <si>
    <t>docs/finance/evidence/tax-transaction/aru_2026_debt.csv
month=8; closing_term_usd</t>
  </si>
  <si>
    <t>Month 9: Opening term principal</t>
  </si>
  <si>
    <t>docs/finance/evidence/tax-transaction/aru_2026_debt.csv
month=9; opening_term_usd</t>
  </si>
  <si>
    <t>Month 9: Term principal reduction</t>
  </si>
  <si>
    <t>docs/finance/evidence/tax-transaction/aru_2026_debt.csv
month=9; term_principal_usd</t>
  </si>
  <si>
    <t>Month 9: Closing term principal</t>
  </si>
  <si>
    <t>docs/finance/evidence/tax-transaction/aru_2026_debt.csv
month=9; closing_term_usd</t>
  </si>
  <si>
    <t>Month 10: Opening term principal</t>
  </si>
  <si>
    <t>docs/finance/evidence/tax-transaction/aru_2026_debt.csv
month=10; opening_term_usd</t>
  </si>
  <si>
    <t>Month 10: Term principal reduction</t>
  </si>
  <si>
    <t>docs/finance/evidence/tax-transaction/aru_2026_debt.csv
month=10; term_principal_usd</t>
  </si>
  <si>
    <t>Month 10: Closing term principal</t>
  </si>
  <si>
    <t>docs/finance/evidence/tax-transaction/aru_2026_debt.csv
month=10; closing_term_usd</t>
  </si>
  <si>
    <t>Month 11: Opening term principal</t>
  </si>
  <si>
    <t>docs/finance/evidence/tax-transaction/aru_2026_debt.csv
month=11; opening_term_usd</t>
  </si>
  <si>
    <t>Month 11: Term principal reduction</t>
  </si>
  <si>
    <t>docs/finance/evidence/tax-transaction/aru_2026_debt.csv
month=11; term_principal_usd</t>
  </si>
  <si>
    <t>Month 11: Closing term principal</t>
  </si>
  <si>
    <t>docs/finance/evidence/tax-transaction/aru_2026_debt.csv
month=11; closing_term_usd</t>
  </si>
  <si>
    <t>Month 12: Opening term principal</t>
  </si>
  <si>
    <t>docs/finance/evidence/tax-transaction/aru_2026_debt.csv
month=12; opening_term_usd</t>
  </si>
  <si>
    <t>Month 12: Term principal reduction</t>
  </si>
  <si>
    <t>docs/finance/evidence/tax-transaction/aru_2026_debt.csv
month=12; term_principal_usd</t>
  </si>
  <si>
    <t>Month 12: Closing term principal</t>
  </si>
  <si>
    <t>docs/finance/evidence/tax-transaction/aru_2026_debt.csv
month=12; closing_term_usd</t>
  </si>
  <si>
    <t>December retained lease principal</t>
  </si>
  <si>
    <t>docs/finance/evidence/tax-transaction/aru_2026_debt.csv
month=12; closing_lease_usd</t>
  </si>
  <si>
    <t>December unamortized issuance cost</t>
  </si>
  <si>
    <t>docs/finance/evidence/tax-transaction/aru_2026_debt.csv
month=12; deferred_debt_issue_cost_usd</t>
  </si>
  <si>
    <t>December revolver draw</t>
  </si>
  <si>
    <t>docs/finance/evidence/tax-transaction/aru_2026_debt.csv
month=12; revolver_draw_usd</t>
  </si>
  <si>
    <t>Reperform the selected calculations</t>
  </si>
  <si>
    <t>Calculation</t>
  </si>
  <si>
    <t>Result USD</t>
  </si>
  <si>
    <t>Basis / explanation</t>
  </si>
  <si>
    <t>Advance allocation difference</t>
  </si>
  <si>
    <t>New borrowing is used once; upstream funds are financing, not revenue.</t>
  </si>
  <si>
    <t>Month 1 principal difference</t>
  </si>
  <si>
    <t>Opening less principal reduction equals closing; interest is not principal.</t>
  </si>
  <si>
    <t>Month 2 principal difference</t>
  </si>
  <si>
    <t>Month 3 principal difference</t>
  </si>
  <si>
    <t>Month 4 principal difference</t>
  </si>
  <si>
    <t>Month 5 principal difference</t>
  </si>
  <si>
    <t>Month 6 principal difference</t>
  </si>
  <si>
    <t>Month 7 principal difference</t>
  </si>
  <si>
    <t>Month 8 principal difference</t>
  </si>
  <si>
    <t>Month 9 principal difference</t>
  </si>
  <si>
    <t>Month 10 principal difference</t>
  </si>
  <si>
    <t>Month 11 principal difference</t>
  </si>
  <si>
    <t>Month 12 principal difference</t>
  </si>
  <si>
    <t>Full-year term principal reductions</t>
  </si>
  <si>
    <t>Three modeled quarterly reductions, not twelve installments.</t>
  </si>
  <si>
    <t>December funded principal including leases</t>
  </si>
  <si>
    <t>Principal amount; do not net unamortized issuance costs here.</t>
  </si>
  <si>
    <t>December term debt carrying amount</t>
  </si>
  <si>
    <t>Term principal less unamortized term-debt issuance cost; excludes leases.</t>
  </si>
  <si>
    <t>Evidence conclusions and further requests</t>
  </si>
  <si>
    <t>Issue / question</t>
  </si>
  <si>
    <t>Supported finding</t>
  </si>
  <si>
    <t>Source / native reference</t>
  </si>
  <si>
    <t>Further evidence</t>
  </si>
  <si>
    <t>DEBT-F01: Does a zero model payoff balance prove liens were released?</t>
  </si>
  <si>
    <t>No. The source records internal payoff instructions and modeled refinancing; it supplies no independent executed release.</t>
  </si>
  <si>
    <t>industrial/transaction/05_ARU_CLOSING_AND_TAX_DELIVERY.md#delivery-register</t>
  </si>
  <si>
    <t>Lender payoff statement, verified settlement and item-specific release evidence.</t>
  </si>
  <si>
    <t>Exact evidence selected for this example</t>
  </si>
  <si>
    <t>Repository path</t>
  </si>
  <si>
    <t>SHA-256</t>
  </si>
  <si>
    <t>industrial/source/finance.json</t>
  </si>
  <si>
    <t>0d4461abfcdb138da36db503ff0cfea7c47ea7fd7109494126514225fd43e38c</t>
  </si>
  <si>
    <t>industrial/finance/TRANSACTION_ACCOUNTING.md</t>
  </si>
  <si>
    <t>d13f142968958585cfc56a7b06d54b5e95bccef6d434d11bb6bba93933a0aa58</t>
  </si>
  <si>
    <t>industrial/transaction/05_ARU_CLOSING_AND_TAX_DELIVERY.md</t>
  </si>
  <si>
    <t>a6dd448ed3a4a3ad6f0f3748e79dd918ea43c75685de762fe00843477a5d22c9</t>
  </si>
  <si>
    <t>docs/finance/evidence/tax-transaction/aru_2026_debt.csv</t>
  </si>
  <si>
    <t>f4fe40dcd3672ed876be4b539428c92fbeb8ed441f7f4fd1f610529c4ebb2d53</t>
  </si>
  <si>
    <t>docs/finance/evidence/tax-transaction/CURRENT_SOURCE_BRIDGE.json</t>
  </si>
  <si>
    <t>4e4c35d03d5613e0ef037d7dd14d27c250fa547fc29d2f93ddd1a1b25274e17c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</si>
</sst>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indent="1" wrapText="1"/>
    </xf>
    <xf numFmtId="164" fontId="0" fillId="0" borderId="0" xfId="0" applyNumberFormat="1" applyAlignment="1">
      <alignment vertical="top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95.7109375" customWidth="1"/>
  </cols>
  <sheetData>
    <row r="1" spans="1:2" ht="34" customHeight="1">
      <c r="A1" s="1" t="s">
        <v>0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2</v>
      </c>
      <c r="B3" s="1" t="s">
        <v>3</v>
      </c>
    </row>
    <row r="4" spans="1:2" ht="38" customHeight="1">
      <c r="A4" s="2" t="s">
        <v>4</v>
      </c>
      <c r="B4" s="2" t="s">
        <v>5</v>
      </c>
    </row>
    <row r="5" spans="1:2" ht="38" customHeight="1">
      <c r="A5" s="2" t="s">
        <v>6</v>
      </c>
      <c r="B5" s="2" t="s">
        <v>7</v>
      </c>
    </row>
    <row r="6" spans="1:2" ht="38" customHeight="1">
      <c r="A6" s="2" t="s">
        <v>8</v>
      </c>
      <c r="B6" s="2" t="s">
        <v>9</v>
      </c>
    </row>
    <row r="7" spans="1:2" ht="38" customHeight="1">
      <c r="A7" s="2" t="s">
        <v>10</v>
      </c>
      <c r="B7" s="2" t="s">
        <v>11</v>
      </c>
    </row>
    <row r="8" spans="1:2" ht="38" customHeight="1">
      <c r="A8" s="2" t="s">
        <v>12</v>
      </c>
      <c r="B8" s="2" t="s">
        <v>13</v>
      </c>
    </row>
    <row r="9" spans="1:2" ht="68" customHeight="1">
      <c r="A9" s="2" t="s">
        <v>14</v>
      </c>
      <c r="B9" s="2" t="s">
        <v>15</v>
      </c>
    </row>
    <row r="10" spans="1:2" ht="113" customHeight="1">
      <c r="A10" s="2" t="s">
        <v>16</v>
      </c>
      <c r="B10" s="2" t="s">
        <v>17</v>
      </c>
    </row>
    <row r="11" spans="1:2" ht="53" customHeight="1">
      <c r="A11" s="2" t="s">
        <v>18</v>
      </c>
      <c r="B11" s="2" t="s">
        <v>19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&amp;CSH-LEGAL-PRACTICE-DEBT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89.7109375" customWidth="1"/>
  </cols>
  <sheetData>
    <row r="1" spans="1:3" ht="34" customHeight="1">
      <c r="A1" s="1" t="s">
        <v>20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21</v>
      </c>
      <c r="B3" s="1" t="s">
        <v>22</v>
      </c>
      <c r="C3" s="1" t="s">
        <v>23</v>
      </c>
    </row>
    <row r="4" spans="1:3" ht="38" customHeight="1">
      <c r="A4" s="2" t="s">
        <v>24</v>
      </c>
      <c r="B4" s="3">
        <v>22500000</v>
      </c>
      <c r="C4" s="2" t="s">
        <v>25</v>
      </c>
    </row>
    <row r="5" spans="1:3" ht="38" customHeight="1">
      <c r="A5" s="2" t="s">
        <v>26</v>
      </c>
      <c r="B5" s="3">
        <v>13500000</v>
      </c>
      <c r="C5" s="2" t="s">
        <v>27</v>
      </c>
    </row>
    <row r="6" spans="1:3" ht="53" customHeight="1">
      <c r="A6" s="2" t="s">
        <v>28</v>
      </c>
      <c r="B6" s="3">
        <v>9000000</v>
      </c>
      <c r="C6" s="2" t="s">
        <v>29</v>
      </c>
    </row>
    <row r="7" spans="1:3" ht="53" customHeight="1">
      <c r="A7" s="2" t="s">
        <v>30</v>
      </c>
      <c r="B7" s="3">
        <v>22500000</v>
      </c>
      <c r="C7" s="2" t="s">
        <v>31</v>
      </c>
    </row>
    <row r="8" spans="1:3" ht="53" customHeight="1">
      <c r="A8" s="2" t="s">
        <v>32</v>
      </c>
      <c r="B8" s="3">
        <v>0</v>
      </c>
      <c r="C8" s="2" t="s">
        <v>33</v>
      </c>
    </row>
    <row r="9" spans="1:3" ht="53" customHeight="1">
      <c r="A9" s="2" t="s">
        <v>34</v>
      </c>
      <c r="B9" s="3">
        <v>22500000</v>
      </c>
      <c r="C9" s="2" t="s">
        <v>35</v>
      </c>
    </row>
    <row r="10" spans="1:3" ht="53" customHeight="1">
      <c r="A10" s="2" t="s">
        <v>36</v>
      </c>
      <c r="B10" s="3">
        <v>22500000</v>
      </c>
      <c r="C10" s="2" t="s">
        <v>37</v>
      </c>
    </row>
    <row r="11" spans="1:3" ht="53" customHeight="1">
      <c r="A11" s="2" t="s">
        <v>38</v>
      </c>
      <c r="B11" s="3">
        <v>0</v>
      </c>
      <c r="C11" s="2" t="s">
        <v>39</v>
      </c>
    </row>
    <row r="12" spans="1:3" ht="53" customHeight="1">
      <c r="A12" s="2" t="s">
        <v>40</v>
      </c>
      <c r="B12" s="3">
        <v>22500000</v>
      </c>
      <c r="C12" s="2" t="s">
        <v>41</v>
      </c>
    </row>
    <row r="13" spans="1:3" ht="53" customHeight="1">
      <c r="A13" s="2" t="s">
        <v>42</v>
      </c>
      <c r="B13" s="3">
        <v>22500000</v>
      </c>
      <c r="C13" s="2" t="s">
        <v>43</v>
      </c>
    </row>
    <row r="14" spans="1:3" ht="53" customHeight="1">
      <c r="A14" s="2" t="s">
        <v>44</v>
      </c>
      <c r="B14" s="3">
        <v>0</v>
      </c>
      <c r="C14" s="2" t="s">
        <v>45</v>
      </c>
    </row>
    <row r="15" spans="1:3" ht="53" customHeight="1">
      <c r="A15" s="2" t="s">
        <v>46</v>
      </c>
      <c r="B15" s="3">
        <v>22500000</v>
      </c>
      <c r="C15" s="2" t="s">
        <v>47</v>
      </c>
    </row>
    <row r="16" spans="1:3" ht="53" customHeight="1">
      <c r="A16" s="2" t="s">
        <v>48</v>
      </c>
      <c r="B16" s="3">
        <v>22500000</v>
      </c>
      <c r="C16" s="2" t="s">
        <v>49</v>
      </c>
    </row>
    <row r="17" spans="1:3" ht="53" customHeight="1">
      <c r="A17" s="2" t="s">
        <v>50</v>
      </c>
      <c r="B17" s="3">
        <v>375000</v>
      </c>
      <c r="C17" s="2" t="s">
        <v>51</v>
      </c>
    </row>
    <row r="18" spans="1:3" ht="53" customHeight="1">
      <c r="A18" s="2" t="s">
        <v>52</v>
      </c>
      <c r="B18" s="3">
        <v>22125000</v>
      </c>
      <c r="C18" s="2" t="s">
        <v>53</v>
      </c>
    </row>
    <row r="19" spans="1:3" ht="53" customHeight="1">
      <c r="A19" s="2" t="s">
        <v>54</v>
      </c>
      <c r="B19" s="3">
        <v>22125000</v>
      </c>
      <c r="C19" s="2" t="s">
        <v>55</v>
      </c>
    </row>
    <row r="20" spans="1:3" ht="53" customHeight="1">
      <c r="A20" s="2" t="s">
        <v>56</v>
      </c>
      <c r="B20" s="3">
        <v>0</v>
      </c>
      <c r="C20" s="2" t="s">
        <v>57</v>
      </c>
    </row>
    <row r="21" spans="1:3" ht="53" customHeight="1">
      <c r="A21" s="2" t="s">
        <v>58</v>
      </c>
      <c r="B21" s="3">
        <v>22125000</v>
      </c>
      <c r="C21" s="2" t="s">
        <v>59</v>
      </c>
    </row>
    <row r="22" spans="1:3" ht="53" customHeight="1">
      <c r="A22" s="2" t="s">
        <v>60</v>
      </c>
      <c r="B22" s="3">
        <v>22125000</v>
      </c>
      <c r="C22" s="2" t="s">
        <v>61</v>
      </c>
    </row>
    <row r="23" spans="1:3" ht="53" customHeight="1">
      <c r="A23" s="2" t="s">
        <v>62</v>
      </c>
      <c r="B23" s="3">
        <v>0</v>
      </c>
      <c r="C23" s="2" t="s">
        <v>63</v>
      </c>
    </row>
    <row r="24" spans="1:3" ht="53" customHeight="1">
      <c r="A24" s="2" t="s">
        <v>64</v>
      </c>
      <c r="B24" s="3">
        <v>22125000</v>
      </c>
      <c r="C24" s="2" t="s">
        <v>65</v>
      </c>
    </row>
    <row r="25" spans="1:3" ht="53" customHeight="1">
      <c r="A25" s="2" t="s">
        <v>66</v>
      </c>
      <c r="B25" s="3">
        <v>22125000</v>
      </c>
      <c r="C25" s="2" t="s">
        <v>67</v>
      </c>
    </row>
    <row r="26" spans="1:3" ht="53" customHeight="1">
      <c r="A26" s="2" t="s">
        <v>68</v>
      </c>
      <c r="B26" s="3">
        <v>375000</v>
      </c>
      <c r="C26" s="2" t="s">
        <v>69</v>
      </c>
    </row>
    <row r="27" spans="1:3" ht="53" customHeight="1">
      <c r="A27" s="2" t="s">
        <v>70</v>
      </c>
      <c r="B27" s="3">
        <v>21750000</v>
      </c>
      <c r="C27" s="2" t="s">
        <v>71</v>
      </c>
    </row>
    <row r="28" spans="1:3" ht="53" customHeight="1">
      <c r="A28" s="2" t="s">
        <v>72</v>
      </c>
      <c r="B28" s="3">
        <v>21750000</v>
      </c>
      <c r="C28" s="2" t="s">
        <v>73</v>
      </c>
    </row>
    <row r="29" spans="1:3" ht="53" customHeight="1">
      <c r="A29" s="2" t="s">
        <v>74</v>
      </c>
      <c r="B29" s="3">
        <v>0</v>
      </c>
      <c r="C29" s="2" t="s">
        <v>75</v>
      </c>
    </row>
    <row r="30" spans="1:3" ht="53" customHeight="1">
      <c r="A30" s="2" t="s">
        <v>76</v>
      </c>
      <c r="B30" s="3">
        <v>21750000</v>
      </c>
      <c r="C30" s="2" t="s">
        <v>77</v>
      </c>
    </row>
    <row r="31" spans="1:3" ht="53" customHeight="1">
      <c r="A31" s="2" t="s">
        <v>78</v>
      </c>
      <c r="B31" s="3">
        <v>21750000</v>
      </c>
      <c r="C31" s="2" t="s">
        <v>79</v>
      </c>
    </row>
    <row r="32" spans="1:3" ht="53" customHeight="1">
      <c r="A32" s="2" t="s">
        <v>80</v>
      </c>
      <c r="B32" s="3">
        <v>0</v>
      </c>
      <c r="C32" s="2" t="s">
        <v>81</v>
      </c>
    </row>
    <row r="33" spans="1:3" ht="53" customHeight="1">
      <c r="A33" s="2" t="s">
        <v>82</v>
      </c>
      <c r="B33" s="3">
        <v>21750000</v>
      </c>
      <c r="C33" s="2" t="s">
        <v>83</v>
      </c>
    </row>
    <row r="34" spans="1:3" ht="53" customHeight="1">
      <c r="A34" s="2" t="s">
        <v>84</v>
      </c>
      <c r="B34" s="3">
        <v>21750000</v>
      </c>
      <c r="C34" s="2" t="s">
        <v>85</v>
      </c>
    </row>
    <row r="35" spans="1:3" ht="53" customHeight="1">
      <c r="A35" s="2" t="s">
        <v>86</v>
      </c>
      <c r="B35" s="3">
        <v>375000</v>
      </c>
      <c r="C35" s="2" t="s">
        <v>87</v>
      </c>
    </row>
    <row r="36" spans="1:3" ht="53" customHeight="1">
      <c r="A36" s="2" t="s">
        <v>88</v>
      </c>
      <c r="B36" s="3">
        <v>21375000</v>
      </c>
      <c r="C36" s="2" t="s">
        <v>89</v>
      </c>
    </row>
    <row r="37" spans="1:3" ht="53" customHeight="1">
      <c r="A37" s="2" t="s">
        <v>90</v>
      </c>
      <c r="B37" s="3">
        <v>21375000</v>
      </c>
      <c r="C37" s="2" t="s">
        <v>91</v>
      </c>
    </row>
    <row r="38" spans="1:3" ht="53" customHeight="1">
      <c r="A38" s="2" t="s">
        <v>92</v>
      </c>
      <c r="B38" s="3">
        <v>0</v>
      </c>
      <c r="C38" s="2" t="s">
        <v>93</v>
      </c>
    </row>
    <row r="39" spans="1:3" ht="53" customHeight="1">
      <c r="A39" s="2" t="s">
        <v>94</v>
      </c>
      <c r="B39" s="3">
        <v>21375000</v>
      </c>
      <c r="C39" s="2" t="s">
        <v>95</v>
      </c>
    </row>
    <row r="40" spans="1:3" ht="53" customHeight="1">
      <c r="A40" s="2" t="s">
        <v>96</v>
      </c>
      <c r="B40" s="3">
        <v>21375000</v>
      </c>
      <c r="C40" s="2" t="s">
        <v>97</v>
      </c>
    </row>
    <row r="41" spans="1:3" ht="53" customHeight="1">
      <c r="A41" s="2" t="s">
        <v>98</v>
      </c>
      <c r="B41" s="3">
        <v>0</v>
      </c>
      <c r="C41" s="2" t="s">
        <v>99</v>
      </c>
    </row>
    <row r="42" spans="1:3" ht="53" customHeight="1">
      <c r="A42" s="2" t="s">
        <v>100</v>
      </c>
      <c r="B42" s="3">
        <v>21375000</v>
      </c>
      <c r="C42" s="2" t="s">
        <v>101</v>
      </c>
    </row>
    <row r="43" spans="1:3" ht="53" customHeight="1">
      <c r="A43" s="2" t="s">
        <v>102</v>
      </c>
      <c r="B43" s="3">
        <v>2008219</v>
      </c>
      <c r="C43" s="2" t="s">
        <v>103</v>
      </c>
    </row>
    <row r="44" spans="1:3" ht="53" customHeight="1">
      <c r="A44" s="2" t="s">
        <v>104</v>
      </c>
      <c r="B44" s="3">
        <v>240968</v>
      </c>
      <c r="C44" s="2" t="s">
        <v>105</v>
      </c>
    </row>
    <row r="45" spans="1:3" ht="53" customHeight="1">
      <c r="A45" s="2" t="s">
        <v>106</v>
      </c>
      <c r="B45" s="3">
        <v>0</v>
      </c>
      <c r="C45" s="2" t="s">
        <v>107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&amp;CSH-LEGAL-PRACTICE-DEBT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4.7109375" customWidth="1"/>
    <col min="2" max="2" width="22.7109375" customWidth="1"/>
    <col min="3" max="3" width="85.7109375" customWidth="1"/>
  </cols>
  <sheetData>
    <row r="1" spans="1:3" ht="34" customHeight="1">
      <c r="A1" s="1" t="s">
        <v>108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109</v>
      </c>
      <c r="B3" s="1" t="s">
        <v>110</v>
      </c>
      <c r="C3" s="1" t="s">
        <v>111</v>
      </c>
    </row>
    <row r="4" spans="1:3" ht="38" customHeight="1">
      <c r="A4" s="2" t="s">
        <v>112</v>
      </c>
      <c r="B4" s="3">
        <f>'Source inputs'!B4-'Source inputs'!B5-'Source inputs'!B6</f>
        <v>0.0</v>
      </c>
      <c r="C4" s="2" t="s">
        <v>113</v>
      </c>
    </row>
    <row r="5" spans="1:3" ht="38" customHeight="1">
      <c r="A5" s="2" t="s">
        <v>114</v>
      </c>
      <c r="B5" s="3">
        <f>'Source inputs'!B7-'Source inputs'!B8-'Source inputs'!B9</f>
        <v>0.0</v>
      </c>
      <c r="C5" s="2" t="s">
        <v>115</v>
      </c>
    </row>
    <row r="6" spans="1:3" ht="38" customHeight="1">
      <c r="A6" s="2" t="s">
        <v>116</v>
      </c>
      <c r="B6" s="3">
        <f>'Source inputs'!B10-'Source inputs'!B11-'Source inputs'!B12</f>
        <v>0.0</v>
      </c>
      <c r="C6" s="2" t="s">
        <v>115</v>
      </c>
    </row>
    <row r="7" spans="1:3" ht="38" customHeight="1">
      <c r="A7" s="2" t="s">
        <v>117</v>
      </c>
      <c r="B7" s="3">
        <f>'Source inputs'!B13-'Source inputs'!B14-'Source inputs'!B15</f>
        <v>0.0</v>
      </c>
      <c r="C7" s="2" t="s">
        <v>115</v>
      </c>
    </row>
    <row r="8" spans="1:3" ht="38" customHeight="1">
      <c r="A8" s="2" t="s">
        <v>118</v>
      </c>
      <c r="B8" s="3">
        <f>'Source inputs'!B16-'Source inputs'!B17-'Source inputs'!B18</f>
        <v>0.0</v>
      </c>
      <c r="C8" s="2" t="s">
        <v>115</v>
      </c>
    </row>
    <row r="9" spans="1:3" ht="38" customHeight="1">
      <c r="A9" s="2" t="s">
        <v>119</v>
      </c>
      <c r="B9" s="3">
        <f>'Source inputs'!B19-'Source inputs'!B20-'Source inputs'!B21</f>
        <v>0.0</v>
      </c>
      <c r="C9" s="2" t="s">
        <v>115</v>
      </c>
    </row>
    <row r="10" spans="1:3" ht="38" customHeight="1">
      <c r="A10" s="2" t="s">
        <v>120</v>
      </c>
      <c r="B10" s="3">
        <f>'Source inputs'!B22-'Source inputs'!B23-'Source inputs'!B24</f>
        <v>0.0</v>
      </c>
      <c r="C10" s="2" t="s">
        <v>115</v>
      </c>
    </row>
    <row r="11" spans="1:3" ht="38" customHeight="1">
      <c r="A11" s="2" t="s">
        <v>121</v>
      </c>
      <c r="B11" s="3">
        <f>'Source inputs'!B25-'Source inputs'!B26-'Source inputs'!B27</f>
        <v>0.0</v>
      </c>
      <c r="C11" s="2" t="s">
        <v>115</v>
      </c>
    </row>
    <row r="12" spans="1:3" ht="38" customHeight="1">
      <c r="A12" s="2" t="s">
        <v>122</v>
      </c>
      <c r="B12" s="3">
        <f>'Source inputs'!B28-'Source inputs'!B29-'Source inputs'!B30</f>
        <v>0.0</v>
      </c>
      <c r="C12" s="2" t="s">
        <v>115</v>
      </c>
    </row>
    <row r="13" spans="1:3" ht="38" customHeight="1">
      <c r="A13" s="2" t="s">
        <v>123</v>
      </c>
      <c r="B13" s="3">
        <f>'Source inputs'!B31-'Source inputs'!B32-'Source inputs'!B33</f>
        <v>0.0</v>
      </c>
      <c r="C13" s="2" t="s">
        <v>115</v>
      </c>
    </row>
    <row r="14" spans="1:3" ht="38" customHeight="1">
      <c r="A14" s="2" t="s">
        <v>124</v>
      </c>
      <c r="B14" s="3">
        <f>'Source inputs'!B34-'Source inputs'!B35-'Source inputs'!B36</f>
        <v>0.0</v>
      </c>
      <c r="C14" s="2" t="s">
        <v>115</v>
      </c>
    </row>
    <row r="15" spans="1:3" ht="38" customHeight="1">
      <c r="A15" s="2" t="s">
        <v>125</v>
      </c>
      <c r="B15" s="3">
        <f>'Source inputs'!B37-'Source inputs'!B38-'Source inputs'!B39</f>
        <v>0.0</v>
      </c>
      <c r="C15" s="2" t="s">
        <v>115</v>
      </c>
    </row>
    <row r="16" spans="1:3" ht="38" customHeight="1">
      <c r="A16" s="2" t="s">
        <v>126</v>
      </c>
      <c r="B16" s="3">
        <f>'Source inputs'!B40-'Source inputs'!B41-'Source inputs'!B42</f>
        <v>0.0</v>
      </c>
      <c r="C16" s="2" t="s">
        <v>115</v>
      </c>
    </row>
    <row r="17" spans="1:3" ht="38" customHeight="1">
      <c r="A17" s="2" t="s">
        <v>127</v>
      </c>
      <c r="B17" s="3">
        <f>'Source inputs'!B8+'Source inputs'!B11+'Source inputs'!B14+'Source inputs'!B17+'Source inputs'!B20+'Source inputs'!B23+'Source inputs'!B26+'Source inputs'!B29+'Source inputs'!B32+'Source inputs'!B35+'Source inputs'!B38+'Source inputs'!B41</f>
        <v>1125000.0</v>
      </c>
      <c r="C17" s="2" t="s">
        <v>128</v>
      </c>
    </row>
    <row r="18" spans="1:3" ht="38" customHeight="1">
      <c r="A18" s="2" t="s">
        <v>129</v>
      </c>
      <c r="B18" s="3">
        <f>'Source inputs'!B42+'Source inputs'!B43+'Source inputs'!B45</f>
        <v>23383219.0</v>
      </c>
      <c r="C18" s="2" t="s">
        <v>130</v>
      </c>
    </row>
    <row r="19" spans="1:3" ht="38" customHeight="1">
      <c r="A19" s="2" t="s">
        <v>131</v>
      </c>
      <c r="B19" s="3">
        <f>'Source inputs'!B42-'Source inputs'!B44</f>
        <v>21134032.0</v>
      </c>
      <c r="C19" s="2" t="s">
        <v>132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&amp;CSH-LEGAL-PRACTICE-DEBT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49.7109375" customWidth="1"/>
    <col min="3" max="3" width="47.7109375" customWidth="1"/>
    <col min="4" max="4" width="48.7109375" customWidth="1"/>
  </cols>
  <sheetData>
    <row r="1" spans="1:4" ht="34" customHeight="1">
      <c r="A1" s="1" t="s">
        <v>133</v>
      </c>
      <c r="B1" s="1"/>
      <c r="C1" s="1"/>
      <c r="D1" s="1"/>
    </row>
    <row r="2" spans="1:4" ht="28" customHeight="1">
      <c r="A2" s="2" t="s">
        <v>1</v>
      </c>
      <c r="B2" s="2"/>
      <c r="C2" s="2"/>
      <c r="D2" s="2"/>
    </row>
    <row r="3" spans="1:4" ht="32" customHeight="1">
      <c r="A3" s="1" t="s">
        <v>134</v>
      </c>
      <c r="B3" s="1" t="s">
        <v>135</v>
      </c>
      <c r="C3" s="1" t="s">
        <v>136</v>
      </c>
      <c r="D3" s="1" t="s">
        <v>137</v>
      </c>
    </row>
    <row r="4" spans="1:4" ht="68" customHeight="1">
      <c r="A4" s="2" t="s">
        <v>138</v>
      </c>
      <c r="B4" s="2" t="s">
        <v>139</v>
      </c>
      <c r="C4" s="2" t="s">
        <v>140</v>
      </c>
      <c r="D4" s="2" t="s">
        <v>141</v>
      </c>
    </row>
  </sheetData>
  <mergeCells count="2">
    <mergeCell ref="A1:D1"/>
    <mergeCell ref="A2:D2"/>
  </mergeCells>
  <pageMargins left="0.3" right="0.3" top="0.4" bottom="0.6" header="0.3" footer="0.2"/>
  <pageSetup paperSize="8" fitToHeight="0" orientation="landscape"/>
  <headerFooter>
    <oddFooter>&amp;CSH-LEGAL-PRACTICE-DEBT |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88.7109375" customWidth="1"/>
    <col min="2" max="2" width="72.7109375" customWidth="1"/>
  </cols>
  <sheetData>
    <row r="1" spans="1:2" ht="34" customHeight="1">
      <c r="A1" s="1" t="s">
        <v>142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143</v>
      </c>
      <c r="B3" s="1" t="s">
        <v>144</v>
      </c>
    </row>
    <row r="4" spans="1:2" ht="38" customHeight="1">
      <c r="A4" s="2" t="s">
        <v>145</v>
      </c>
      <c r="B4" s="2" t="s">
        <v>146</v>
      </c>
    </row>
    <row r="5" spans="1:2" ht="38" customHeight="1">
      <c r="A5" s="2" t="s">
        <v>147</v>
      </c>
      <c r="B5" s="2" t="s">
        <v>148</v>
      </c>
    </row>
    <row r="6" spans="1:2" ht="38" customHeight="1">
      <c r="A6" s="2" t="s">
        <v>149</v>
      </c>
      <c r="B6" s="2" t="s">
        <v>150</v>
      </c>
    </row>
    <row r="7" spans="1:2" ht="38" customHeight="1">
      <c r="A7" s="2" t="s">
        <v>151</v>
      </c>
      <c r="B7" s="2" t="s">
        <v>152</v>
      </c>
    </row>
    <row r="8" spans="1:2" ht="38" customHeight="1">
      <c r="A8" s="2" t="s">
        <v>153</v>
      </c>
      <c r="B8" s="2" t="s">
        <v>154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&amp;CSH-LEGAL-PRACTICE-DEBT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Read first</vt:lpstr>
      <vt:lpstr>Source inputs</vt:lpstr>
      <vt:lpstr>Working paper</vt:lpstr>
      <vt:lpstr>Findings</vt:lpstr>
      <vt:lpstr>Evidence</vt:lpstr>
      <vt:lpstr>Evidence!Print_Area</vt:lpstr>
      <vt:lpstr>Findings!Print_Area</vt:lpstr>
      <vt:lpstr>'Read first'!Print_Area</vt:lpstr>
      <vt:lpstr>'Source inputs'!Print_Area</vt:lpstr>
      <vt:lpstr>'Working paper'!Print_Area</vt:lpstr>
      <vt:lpstr>Evidence!Print_Titles</vt:lpstr>
      <vt:lpstr>Findings!Print_Titles</vt:lpstr>
      <vt:lpstr>'Read first'!Print_Titles</vt:lpstr>
      <vt:lpstr>'Source inputs'!Print_Titles</vt:lpstr>
      <vt:lpstr>'Working paper'!Print_Titles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ARU debt reconciliation</dc:title>
  <dc:creator/>
  <dc:description>PUBLIC_WORKED_EXAMPLE; draft design</dc:description>
  <cp:lastModifiedBy/>
  <dcterms:created xsi:type="dcterms:W3CDTF">2026-09-12T00:00:00Z</dcterms:created>
  <dcterms:modified xsi:type="dcterms:W3CDTF">2026-09-12T00:00:00Z</dcterms:modified>
</cp:coreProperties>
</file>