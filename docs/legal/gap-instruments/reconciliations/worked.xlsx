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first" sheetId="1" r:id="rId1"/>
    <sheet name="bank" sheetId="2" r:id="rId2"/>
    <sheet name="ar" sheetId="3" r:id="rId3"/>
    <sheet name="ap" sheetId="4" r:id="rId4"/>
    <sheet name="debt" sheetId="5" r:id="rId5"/>
    <sheet name="fixed-assets" sheetId="6" r:id="rId6"/>
    <sheet name="Source register" sheetId="7" r:id="rId7"/>
  </sheets>
  <definedNames>
    <definedName name="_xlnm.Print_Area" localSheetId="3">ap!$A$1:$C$16</definedName>
    <definedName name="_xlnm.Print_Area" localSheetId="2">ar!$A$1:$C$14</definedName>
    <definedName name="_xlnm.Print_Area" localSheetId="1">bank!$A$1:$C$21</definedName>
    <definedName name="_xlnm.Print_Area" localSheetId="4">debt!$A$1:$C$23</definedName>
    <definedName name="_xlnm.Print_Area" localSheetId="5">'fixed-assets'!$A$1:$C$14</definedName>
    <definedName name="_xlnm.Print_Area" localSheetId="0">'Read first'!$A$1:$C$9</definedName>
    <definedName name="_xlnm.Print_Area" localSheetId="6">'Source register'!$A$1:$C$11</definedName>
  </definedNames>
  <calcPr calcId="124519" fullCalcOnLoad="1"/>
</workbook>
</file>

<file path=xl/sharedStrings.xml><?xml version="1.0" encoding="utf-8"?>
<sst xmlns="http://schemas.openxmlformats.org/spreadsheetml/2006/main" count="171" uniqueCount="130">
  <si>
    <t>SABLE HARBOR / Reconciliation practice</t>
  </si>
  <si>
    <t>PUBLIC WORKED EXAMPLE | Draft design for review</t>
  </si>
  <si>
    <t>Purpose</t>
  </si>
  <si>
    <t>Reperform five bounded source checks. Separate public worked answers are supplied for self-study.</t>
  </si>
  <si>
    <t>Scope</t>
  </si>
  <si>
    <t>Base scenario, January 2027; each worksheet names its source system and entity. Never add the cases together.</t>
  </si>
  <si>
    <t>Working method</t>
  </si>
  <si>
    <t>Read the supplied inputs and native locators. Enter your own calculation in yellow cells; write a conclusion and evidence request before opening worked.xlsx.</t>
  </si>
  <si>
    <t>Evidence access</t>
  </si>
  <si>
    <t>Exact complete selected rows, filters and source hashes are in source.json. Evidence IDs below match the Source register sheet. Native CSV links are in README.md.</t>
  </si>
  <si>
    <t>Evidence boundary</t>
  </si>
  <si>
    <t>All supplied figures are public synthetic model records. Arithmetic consistency does not establish execution, valuation, completeness or independent corroboration.</t>
  </si>
  <si>
    <t>Approval</t>
  </si>
  <si>
    <t>Draft workbook designs require exact-file owner review. No original legal instrument or accepted financial record is changed.</t>
  </si>
  <si>
    <t>Bank clearing bridge</t>
  </si>
  <si>
    <t>ARU_GROUP | industrial forecast model | January 2027 | base | USD</t>
  </si>
  <si>
    <t>Supplied source input</t>
  </si>
  <si>
    <t>Amount USD</t>
  </si>
  <si>
    <t>Native locator</t>
  </si>
  <si>
    <t>Opening modeled bank cash</t>
  </si>
  <si>
    <t>E01 / row 1 / opening_bank_cash_usd</t>
  </si>
  <si>
    <t>Cleared receipts</t>
  </si>
  <si>
    <t>E01 / row 1 / cleared_receipts_usd</t>
  </si>
  <si>
    <t>Cleared payments</t>
  </si>
  <si>
    <t>E01 / row 1 / cleared_payments_usd</t>
  </si>
  <si>
    <t>Closing modeled bank cash</t>
  </si>
  <si>
    <t>E01 / row 1 / closing_bank_cash_usd</t>
  </si>
  <si>
    <t>Deposits in transit</t>
  </si>
  <si>
    <t>E01 / row 1 / deposits_in_transit_usd</t>
  </si>
  <si>
    <t>Outstanding payments</t>
  </si>
  <si>
    <t>E01 / row 1 / outstanding_payments_usd</t>
  </si>
  <si>
    <t>Adjusted bank cash</t>
  </si>
  <si>
    <t>E01 / row 1 / adjusted_bank_cash_usd</t>
  </si>
  <si>
    <t>Ledger cash</t>
  </si>
  <si>
    <t>E01 / row 1 / ledger_cash_usd</t>
  </si>
  <si>
    <t>Reperform — expected difference within $0.02</t>
  </si>
  <si>
    <t>Opening + receipts − payments − closing</t>
  </si>
  <si>
    <t>Source arithmetic reconciles; see limitations below.</t>
  </si>
  <si>
    <t>Closing + deposits − outstanding − adjusted</t>
  </si>
  <si>
    <t>Adjusted bank cash − ledger cash</t>
  </si>
  <si>
    <t>Conclusion and limits</t>
  </si>
  <si>
    <t>This is a synthetic clearing schedule. A zero difference does not establish independent bank cash, ownership or actual payment.</t>
  </si>
  <si>
    <t>Further evidence request</t>
  </si>
  <si>
    <t>Obtain January bank-issued statement and subsequent clearing support for listed deposits and payments; compare dates and amounts with the model.</t>
  </si>
  <si>
    <t>Receivables aging to subledger</t>
  </si>
  <si>
    <t>Atlas Meridian | Core forecast model | January 2027 | base | USD</t>
  </si>
  <si>
    <t>INV-base-ATL-LIC-001-TERM-0</t>
  </si>
  <si>
    <t>E02 / row 1 / outstanding_usd</t>
  </si>
  <si>
    <t>INV-base-ATL-LIC-013-TERM-0</t>
  </si>
  <si>
    <t>E02 / row 2 / outstanding_usd</t>
  </si>
  <si>
    <t>Month-end gross AR</t>
  </si>
  <si>
    <t>E03 / row 1 / gross_ar_usd</t>
  </si>
  <si>
    <t>Aging total − month-end gross AR</t>
  </si>
  <si>
    <t>The complete selected month-end aging population is used. Terminal invoice-master balances are excluded; gross AR is before allowance.</t>
  </si>
  <si>
    <t>Obtain the two underlying customer invoices, delivery or license acceptance, and subsequent receipt support; assess collectability separately from the arithmetic tie.</t>
  </si>
  <si>
    <t>Payables journal to subledger</t>
  </si>
  <si>
    <t>BIZ-base-0000118 credit</t>
  </si>
  <si>
    <t>E04 / row 1 / credit_usd</t>
  </si>
  <si>
    <t>BIZ-base-0000118 debit</t>
  </si>
  <si>
    <t>E04 / row 1 / debit_usd</t>
  </si>
  <si>
    <t>BIZ-base-0000121 credit</t>
  </si>
  <si>
    <t>E04 / row 2 / credit_usd</t>
  </si>
  <si>
    <t>BIZ-base-0000121 debit</t>
  </si>
  <si>
    <t>E04 / row 2 / debit_usd</t>
  </si>
  <si>
    <t>Month-end vendor AP</t>
  </si>
  <si>
    <t>E05 / row 1 / vendor_ap_usd</t>
  </si>
  <si>
    <t>Cumulative credits − debits − vendor AP</t>
  </si>
  <si>
    <t>January is the first Core model period. All January BIZ_AP legs are selected, credits positive. A tied model does not test liability completeness; terminal payable-master balances are excluded.</t>
  </si>
  <si>
    <t>Obtain vendor invoices and service acceptance for both hosting accruals; inspect post-period payments and unmatched invoices for unrecorded liabilities.</t>
  </si>
  <si>
    <t>Debt principal movements</t>
  </si>
  <si>
    <t>opening legacy term</t>
  </si>
  <si>
    <t>E06 / row 1 / opening_legacy_term_usd</t>
  </si>
  <si>
    <t>principal cash paid legacy term</t>
  </si>
  <si>
    <t>E06 / row 1 / principal_cash_paid_legacy_term_usd</t>
  </si>
  <si>
    <t>closing legacy term</t>
  </si>
  <si>
    <t>E06 / row 1 / closing_legacy_term_usd</t>
  </si>
  <si>
    <t>opening replacement term</t>
  </si>
  <si>
    <t>E06 / row 1 / opening_replacement_term_usd</t>
  </si>
  <si>
    <t>replacement debt draw</t>
  </si>
  <si>
    <t>E06 / row 1 / replacement_debt_draw_usd</t>
  </si>
  <si>
    <t>principal cash paid replacement term</t>
  </si>
  <si>
    <t>E06 / row 1 / principal_cash_paid_replacement_term_usd</t>
  </si>
  <si>
    <t>closing replacement term</t>
  </si>
  <si>
    <t>E06 / row 1 / closing_replacement_term_usd</t>
  </si>
  <si>
    <t>opening lease</t>
  </si>
  <si>
    <t>E06 / row 1 / opening_lease_usd</t>
  </si>
  <si>
    <t>principal cash paid lease</t>
  </si>
  <si>
    <t>E06 / row 1 / principal_cash_paid_lease_usd</t>
  </si>
  <si>
    <t>closing lease</t>
  </si>
  <si>
    <t>E06 / row 1 / closing_lease_usd</t>
  </si>
  <si>
    <t>Legacy term principal rollforward difference</t>
  </si>
  <si>
    <t>Replacement term principal rollforward difference</t>
  </si>
  <si>
    <t>Retained leases principal rollforward difference</t>
  </si>
  <si>
    <t>Legacy term debt, replacement term debt and retained leases stay separate. Scheduled and cash-paid principal are distinct fields; interest and issuance costs are outside these principal checks.</t>
  </si>
  <si>
    <t>Obtain lender and lessor statements, executed credit terms and payment confirmations. Test maturity, security and covenants from executed terms, not assumed thresholds.</t>
  </si>
  <si>
    <t>Asset carrying value</t>
  </si>
  <si>
    <t>Willow / FORT-TEST-RIG | Core forecast model | January 2027 | base | USD</t>
  </si>
  <si>
    <t>Recorded cost</t>
  </si>
  <si>
    <t>E07 / row 1 / cost_usd</t>
  </si>
  <si>
    <t>Accumulated depreciation</t>
  </si>
  <si>
    <t>E07 / row 1 / accumulated_usd</t>
  </si>
  <si>
    <t>Net book value</t>
  </si>
  <si>
    <t>E07 / row 1 / net_book_usd</t>
  </si>
  <si>
    <t>Cost − accumulated depreciation − net book value</t>
  </si>
  <si>
    <t>A single identified asset is selected, not the enterprise asset population. Zero modeled accumulated depreciation does not establish that no depreciation should be recognized.</t>
  </si>
  <si>
    <t>Obtain purchase invoice, receipt, commissioning approval and physical inspection evidence for FORT-TEST-RIG; support useful life and depreciation commencement.</t>
  </si>
  <si>
    <t>Exact source selections</t>
  </si>
  <si>
    <t>ID</t>
  </si>
  <si>
    <t>Repository CSV / selected rows</t>
  </si>
  <si>
    <t>SHA-256</t>
  </si>
  <si>
    <t>E01</t>
  </si>
  <si>
    <t>docs/finance/evidence/treasury/source/industrial_bank_reconciliations.csv
Selected rows: 1</t>
  </si>
  <si>
    <t>12e2a7c840f5202a76e4317fd693f53a110202b64e8571831c3b0ded4a80dded</t>
  </si>
  <si>
    <t>E02</t>
  </si>
  <si>
    <t>docs/finance/evidence/customer/source/receivable_aging.csv
Selected rows: 2</t>
  </si>
  <si>
    <t>7cf54fb1b113af93b4df4c20e1ed42f9ab30f7e45707efae4a8637f3cc449049</t>
  </si>
  <si>
    <t>E03</t>
  </si>
  <si>
    <t>docs/finance/evidence/customer/source/subledger_rollforward.csv
Selected rows: 1</t>
  </si>
  <si>
    <t>9a2d216f5c3b7bce6f5a7c5e1c5491bb06586f129d171f61a486f9dbb7feaaa2</t>
  </si>
  <si>
    <t>E04</t>
  </si>
  <si>
    <t>docs/finance/evidence/close/source/journal.csv
Selected rows: 2</t>
  </si>
  <si>
    <t>10b8bee2f13881e14ae9ddf0a862cf264eea3de92693368119421eee48a9bc91</t>
  </si>
  <si>
    <t>E05</t>
  </si>
  <si>
    <t>docs/finance/evidence/treasury/source/subledger_rollforward.csv
Selected rows: 1</t>
  </si>
  <si>
    <t>E06</t>
  </si>
  <si>
    <t>docs/finance/evidence/supporting-schedules/source/industrial_debt.csv
Selected rows: 1</t>
  </si>
  <si>
    <t>5f6b7535dd73f440473c55672914866d51b70029477cb2b4a383777417de9c06</t>
  </si>
  <si>
    <t>E07</t>
  </si>
  <si>
    <t>docs/finance/evidence/supporting-schedules/source/asset_rollforward.csv
Selected rows: 1</t>
  </si>
  <si>
    <t>a84bedaaf0e35bf6af46fcab78ecaab393f0c9a2a0b463f9cede642bd641c4e7</t>
  </si>
</sst>
</file>

<file path=xl/styles.xml><?xml version="1.0" encoding="utf-8"?>
<styleSheet xmlns="http://schemas.openxmlformats.org/spreadsheetml/2006/main">
  <numFmts count="1">
    <numFmt numFmtId="164" formatCode="#,##0.00;[Red](#,##0.00);0.00"/>
  </numFmts>
  <fonts count="2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4323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horizontal="left" vertical="top" indent="1" wrapText="1"/>
    </xf>
    <xf numFmtId="164" fontId="0" fillId="0" borderId="0" xfId="0" applyNumberFormat="1" applyAlignment="1">
      <alignment horizontal="right" vertical="top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9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52.7109375" customWidth="1"/>
    <col min="2" max="2" width="22.7109375" customWidth="1"/>
    <col min="3" max="3" width="48.7109375" customWidth="1"/>
  </cols>
  <sheetData>
    <row r="1" spans="1:3" ht="30" customHeight="1">
      <c r="A1" s="1" t="s">
        <v>0</v>
      </c>
      <c r="B1" s="1"/>
      <c r="C1" s="1"/>
    </row>
    <row r="2" spans="1:3" ht="24" customHeight="1">
      <c r="A2" s="2" t="s">
        <v>1</v>
      </c>
      <c r="B2" s="2"/>
      <c r="C2" s="2"/>
    </row>
    <row r="4" spans="1:3" ht="60" customHeight="1">
      <c r="A4" s="2" t="s">
        <v>2</v>
      </c>
      <c r="B4" s="2" t="s">
        <v>3</v>
      </c>
      <c r="C4" s="2"/>
    </row>
    <row r="5" spans="1:3" ht="60" customHeight="1">
      <c r="A5" s="2" t="s">
        <v>4</v>
      </c>
      <c r="B5" s="2" t="s">
        <v>5</v>
      </c>
      <c r="C5" s="2"/>
    </row>
    <row r="6" spans="1:3" ht="60" customHeight="1">
      <c r="A6" s="2" t="s">
        <v>6</v>
      </c>
      <c r="B6" s="2" t="s">
        <v>7</v>
      </c>
      <c r="C6" s="2"/>
    </row>
    <row r="7" spans="1:3" ht="60" customHeight="1">
      <c r="A7" s="2" t="s">
        <v>8</v>
      </c>
      <c r="B7" s="2" t="s">
        <v>9</v>
      </c>
      <c r="C7" s="2"/>
    </row>
    <row r="8" spans="1:3" ht="60" customHeight="1">
      <c r="A8" s="2" t="s">
        <v>10</v>
      </c>
      <c r="B8" s="2" t="s">
        <v>11</v>
      </c>
      <c r="C8" s="2"/>
    </row>
    <row r="9" spans="1:3" ht="60" customHeight="1">
      <c r="A9" s="2" t="s">
        <v>12</v>
      </c>
      <c r="B9" s="2" t="s">
        <v>13</v>
      </c>
      <c r="C9" s="2"/>
    </row>
  </sheetData>
  <mergeCells count="8">
    <mergeCell ref="A1:C1"/>
    <mergeCell ref="A2:C2"/>
    <mergeCell ref="B4:C4"/>
    <mergeCell ref="B5:C5"/>
    <mergeCell ref="B6:C6"/>
    <mergeCell ref="B7:C7"/>
    <mergeCell ref="B8:C8"/>
    <mergeCell ref="B9:C9"/>
  </mergeCells>
  <pageMargins left="0.35" right="0.35" top="0.35" bottom="0.55" header="0.3" footer="0.2"/>
  <pageSetup paperSize="8" orientation="landscape"/>
  <headerFooter>
    <oddFooter>&amp;CSH-RECON-001 | &amp;A |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52.7109375" customWidth="1"/>
    <col min="2" max="2" width="22.7109375" customWidth="1"/>
    <col min="3" max="3" width="48.7109375" customWidth="1"/>
  </cols>
  <sheetData>
    <row r="1" spans="1:3" ht="30" customHeight="1">
      <c r="A1" s="1" t="s">
        <v>14</v>
      </c>
      <c r="B1" s="1"/>
      <c r="C1" s="1"/>
    </row>
    <row r="2" spans="1:3" ht="24" customHeight="1">
      <c r="A2" s="2" t="s">
        <v>1</v>
      </c>
      <c r="B2" s="2"/>
      <c r="C2" s="2"/>
    </row>
    <row r="3" spans="1:3" ht="25" customHeight="1">
      <c r="A3" s="2" t="s">
        <v>15</v>
      </c>
      <c r="B3" s="2"/>
      <c r="C3" s="2"/>
    </row>
    <row r="5" spans="1:3" ht="25" customHeight="1">
      <c r="A5" s="1" t="s">
        <v>16</v>
      </c>
      <c r="B5" s="1" t="s">
        <v>17</v>
      </c>
      <c r="C5" s="1" t="s">
        <v>18</v>
      </c>
    </row>
    <row r="6" spans="1:3" ht="30" customHeight="1">
      <c r="A6" s="2" t="s">
        <v>19</v>
      </c>
      <c r="B6" s="3">
        <v>4198440</v>
      </c>
      <c r="C6" s="2" t="s">
        <v>20</v>
      </c>
    </row>
    <row r="7" spans="1:3" ht="30" customHeight="1">
      <c r="A7" s="2" t="s">
        <v>21</v>
      </c>
      <c r="B7" s="3">
        <v>0</v>
      </c>
      <c r="C7" s="2" t="s">
        <v>22</v>
      </c>
    </row>
    <row r="8" spans="1:3" ht="30" customHeight="1">
      <c r="A8" s="2" t="s">
        <v>23</v>
      </c>
      <c r="B8" s="3">
        <v>0</v>
      </c>
      <c r="C8" s="2" t="s">
        <v>24</v>
      </c>
    </row>
    <row r="9" spans="1:3" ht="30" customHeight="1">
      <c r="A9" s="2" t="s">
        <v>25</v>
      </c>
      <c r="B9" s="3">
        <v>4198440</v>
      </c>
      <c r="C9" s="2" t="s">
        <v>26</v>
      </c>
    </row>
    <row r="10" spans="1:3" ht="30" customHeight="1">
      <c r="A10" s="2" t="s">
        <v>27</v>
      </c>
      <c r="B10" s="3">
        <v>4639240</v>
      </c>
      <c r="C10" s="2" t="s">
        <v>28</v>
      </c>
    </row>
    <row r="11" spans="1:3" ht="30" customHeight="1">
      <c r="A11" s="2" t="s">
        <v>29</v>
      </c>
      <c r="B11" s="3">
        <v>5343152</v>
      </c>
      <c r="C11" s="2" t="s">
        <v>30</v>
      </c>
    </row>
    <row r="12" spans="1:3" ht="30" customHeight="1">
      <c r="A12" s="2" t="s">
        <v>31</v>
      </c>
      <c r="B12" s="3">
        <v>3494528</v>
      </c>
      <c r="C12" s="2" t="s">
        <v>32</v>
      </c>
    </row>
    <row r="13" spans="1:3" ht="30" customHeight="1">
      <c r="A13" s="2" t="s">
        <v>33</v>
      </c>
      <c r="B13" s="3">
        <v>3494528</v>
      </c>
      <c r="C13" s="2" t="s">
        <v>34</v>
      </c>
    </row>
    <row r="15" spans="1:3" ht="26" customHeight="1">
      <c r="A15" s="1" t="s">
        <v>35</v>
      </c>
      <c r="B15" s="1"/>
      <c r="C15" s="1"/>
    </row>
    <row r="16" spans="1:3" ht="32" customHeight="1">
      <c r="A16" s="2" t="s">
        <v>36</v>
      </c>
      <c r="B16" s="3">
        <f>B6+B7-B8-B9</f>
        <v>0.0</v>
      </c>
      <c r="C16" s="2" t="s">
        <v>37</v>
      </c>
    </row>
    <row r="17" spans="1:3" ht="32" customHeight="1">
      <c r="A17" s="2" t="s">
        <v>38</v>
      </c>
      <c r="B17" s="3">
        <f>B9+B10-B11-B12</f>
        <v>0.0</v>
      </c>
      <c r="C17" s="2" t="s">
        <v>37</v>
      </c>
    </row>
    <row r="18" spans="1:3" ht="32" customHeight="1">
      <c r="A18" s="2" t="s">
        <v>39</v>
      </c>
      <c r="B18" s="3">
        <f>B12-B13</f>
        <v>0.0</v>
      </c>
      <c r="C18" s="2" t="s">
        <v>37</v>
      </c>
    </row>
    <row r="20" spans="1:3" ht="66" customHeight="1">
      <c r="A20" s="2" t="s">
        <v>40</v>
      </c>
      <c r="B20" s="2" t="s">
        <v>41</v>
      </c>
      <c r="C20" s="2"/>
    </row>
    <row r="21" spans="1:3" ht="66" customHeight="1">
      <c r="A21" s="2" t="s">
        <v>42</v>
      </c>
      <c r="B21" s="2" t="s">
        <v>43</v>
      </c>
      <c r="C21" s="2"/>
    </row>
  </sheetData>
  <mergeCells count="6">
    <mergeCell ref="A1:C1"/>
    <mergeCell ref="A2:C2"/>
    <mergeCell ref="A3:C3"/>
    <mergeCell ref="A15:C15"/>
    <mergeCell ref="B20:C20"/>
    <mergeCell ref="B21:C21"/>
  </mergeCells>
  <pageMargins left="0.35" right="0.35" top="0.35" bottom="0.55" header="0.3" footer="0.2"/>
  <pageSetup paperSize="8" orientation="landscape"/>
  <headerFooter>
    <oddFooter>&amp;CSH-RECON-001 | &amp;A |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4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52.7109375" customWidth="1"/>
    <col min="2" max="2" width="22.7109375" customWidth="1"/>
    <col min="3" max="3" width="48.7109375" customWidth="1"/>
  </cols>
  <sheetData>
    <row r="1" spans="1:3" ht="30" customHeight="1">
      <c r="A1" s="1" t="s">
        <v>44</v>
      </c>
      <c r="B1" s="1"/>
      <c r="C1" s="1"/>
    </row>
    <row r="2" spans="1:3" ht="24" customHeight="1">
      <c r="A2" s="2" t="s">
        <v>1</v>
      </c>
      <c r="B2" s="2"/>
      <c r="C2" s="2"/>
    </row>
    <row r="3" spans="1:3" ht="25" customHeight="1">
      <c r="A3" s="2" t="s">
        <v>45</v>
      </c>
      <c r="B3" s="2"/>
      <c r="C3" s="2"/>
    </row>
    <row r="5" spans="1:3" ht="25" customHeight="1">
      <c r="A5" s="1" t="s">
        <v>16</v>
      </c>
      <c r="B5" s="1" t="s">
        <v>17</v>
      </c>
      <c r="C5" s="1" t="s">
        <v>18</v>
      </c>
    </row>
    <row r="6" spans="1:3" ht="30" customHeight="1">
      <c r="A6" s="2" t="s">
        <v>46</v>
      </c>
      <c r="B6" s="3">
        <v>240000</v>
      </c>
      <c r="C6" s="2" t="s">
        <v>47</v>
      </c>
    </row>
    <row r="7" spans="1:3" ht="30" customHeight="1">
      <c r="A7" s="2" t="s">
        <v>48</v>
      </c>
      <c r="B7" s="3">
        <v>240000</v>
      </c>
      <c r="C7" s="2" t="s">
        <v>49</v>
      </c>
    </row>
    <row r="8" spans="1:3" ht="30" customHeight="1">
      <c r="A8" s="2" t="s">
        <v>50</v>
      </c>
      <c r="B8" s="3">
        <v>480000</v>
      </c>
      <c r="C8" s="2" t="s">
        <v>51</v>
      </c>
    </row>
    <row r="10" spans="1:3" ht="26" customHeight="1">
      <c r="A10" s="1" t="s">
        <v>35</v>
      </c>
      <c r="B10" s="1"/>
      <c r="C10" s="1"/>
    </row>
    <row r="11" spans="1:3" ht="32" customHeight="1">
      <c r="A11" s="2" t="s">
        <v>52</v>
      </c>
      <c r="B11" s="3">
        <f>B6+B7-B8</f>
        <v>0.0</v>
      </c>
      <c r="C11" s="2" t="s">
        <v>37</v>
      </c>
    </row>
    <row r="13" spans="1:3" ht="66" customHeight="1">
      <c r="A13" s="2" t="s">
        <v>40</v>
      </c>
      <c r="B13" s="2" t="s">
        <v>53</v>
      </c>
      <c r="C13" s="2"/>
    </row>
    <row r="14" spans="1:3" ht="66" customHeight="1">
      <c r="A14" s="2" t="s">
        <v>42</v>
      </c>
      <c r="B14" s="2" t="s">
        <v>54</v>
      </c>
      <c r="C14" s="2"/>
    </row>
  </sheetData>
  <mergeCells count="6">
    <mergeCell ref="A1:C1"/>
    <mergeCell ref="A2:C2"/>
    <mergeCell ref="A3:C3"/>
    <mergeCell ref="A10:C10"/>
    <mergeCell ref="B13:C13"/>
    <mergeCell ref="B14:C14"/>
  </mergeCells>
  <pageMargins left="0.35" right="0.35" top="0.35" bottom="0.55" header="0.3" footer="0.2"/>
  <pageSetup paperSize="8" orientation="landscape"/>
  <headerFooter>
    <oddFooter>&amp;CSH-RECON-001 | &amp;A |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6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52.7109375" customWidth="1"/>
    <col min="2" max="2" width="22.7109375" customWidth="1"/>
    <col min="3" max="3" width="48.7109375" customWidth="1"/>
  </cols>
  <sheetData>
    <row r="1" spans="1:3" ht="30" customHeight="1">
      <c r="A1" s="1" t="s">
        <v>55</v>
      </c>
      <c r="B1" s="1"/>
      <c r="C1" s="1"/>
    </row>
    <row r="2" spans="1:3" ht="24" customHeight="1">
      <c r="A2" s="2" t="s">
        <v>1</v>
      </c>
      <c r="B2" s="2"/>
      <c r="C2" s="2"/>
    </row>
    <row r="3" spans="1:3" ht="25" customHeight="1">
      <c r="A3" s="2" t="s">
        <v>45</v>
      </c>
      <c r="B3" s="2"/>
      <c r="C3" s="2"/>
    </row>
    <row r="5" spans="1:3" ht="25" customHeight="1">
      <c r="A5" s="1" t="s">
        <v>16</v>
      </c>
      <c r="B5" s="1" t="s">
        <v>17</v>
      </c>
      <c r="C5" s="1" t="s">
        <v>18</v>
      </c>
    </row>
    <row r="6" spans="1:3" ht="30" customHeight="1">
      <c r="A6" s="2" t="s">
        <v>56</v>
      </c>
      <c r="B6" s="3">
        <v>1400</v>
      </c>
      <c r="C6" s="2" t="s">
        <v>57</v>
      </c>
    </row>
    <row r="7" spans="1:3" ht="30" customHeight="1">
      <c r="A7" s="2" t="s">
        <v>58</v>
      </c>
      <c r="B7" s="3">
        <v>0</v>
      </c>
      <c r="C7" s="2" t="s">
        <v>59</v>
      </c>
    </row>
    <row r="8" spans="1:3" ht="30" customHeight="1">
      <c r="A8" s="2" t="s">
        <v>60</v>
      </c>
      <c r="B8" s="3">
        <v>1400</v>
      </c>
      <c r="C8" s="2" t="s">
        <v>61</v>
      </c>
    </row>
    <row r="9" spans="1:3" ht="30" customHeight="1">
      <c r="A9" s="2" t="s">
        <v>62</v>
      </c>
      <c r="B9" s="3">
        <v>0</v>
      </c>
      <c r="C9" s="2" t="s">
        <v>63</v>
      </c>
    </row>
    <row r="10" spans="1:3" ht="30" customHeight="1">
      <c r="A10" s="2" t="s">
        <v>64</v>
      </c>
      <c r="B10" s="3">
        <v>2800</v>
      </c>
      <c r="C10" s="2" t="s">
        <v>65</v>
      </c>
    </row>
    <row r="12" spans="1:3" ht="26" customHeight="1">
      <c r="A12" s="1" t="s">
        <v>35</v>
      </c>
      <c r="B12" s="1"/>
      <c r="C12" s="1"/>
    </row>
    <row r="13" spans="1:3" ht="32" customHeight="1">
      <c r="A13" s="2" t="s">
        <v>66</v>
      </c>
      <c r="B13" s="3">
        <f>B6-B7+B8-B9-B10</f>
        <v>0.0</v>
      </c>
      <c r="C13" s="2" t="s">
        <v>37</v>
      </c>
    </row>
    <row r="15" spans="1:3" ht="66" customHeight="1">
      <c r="A15" s="2" t="s">
        <v>40</v>
      </c>
      <c r="B15" s="2" t="s">
        <v>67</v>
      </c>
      <c r="C15" s="2"/>
    </row>
    <row r="16" spans="1:3" ht="66" customHeight="1">
      <c r="A16" s="2" t="s">
        <v>42</v>
      </c>
      <c r="B16" s="2" t="s">
        <v>68</v>
      </c>
      <c r="C16" s="2"/>
    </row>
  </sheetData>
  <mergeCells count="6">
    <mergeCell ref="A1:C1"/>
    <mergeCell ref="A2:C2"/>
    <mergeCell ref="A3:C3"/>
    <mergeCell ref="A12:C12"/>
    <mergeCell ref="B15:C15"/>
    <mergeCell ref="B16:C16"/>
  </mergeCells>
  <pageMargins left="0.35" right="0.35" top="0.35" bottom="0.55" header="0.3" footer="0.2"/>
  <pageSetup paperSize="8" orientation="landscape"/>
  <headerFooter>
    <oddFooter>&amp;CSH-RECON-001 | &amp;A |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23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52.7109375" customWidth="1"/>
    <col min="2" max="2" width="22.7109375" customWidth="1"/>
    <col min="3" max="3" width="48.7109375" customWidth="1"/>
  </cols>
  <sheetData>
    <row r="1" spans="1:3" ht="30" customHeight="1">
      <c r="A1" s="1" t="s">
        <v>69</v>
      </c>
      <c r="B1" s="1"/>
      <c r="C1" s="1"/>
    </row>
    <row r="2" spans="1:3" ht="24" customHeight="1">
      <c r="A2" s="2" t="s">
        <v>1</v>
      </c>
      <c r="B2" s="2"/>
      <c r="C2" s="2"/>
    </row>
    <row r="3" spans="1:3" ht="25" customHeight="1">
      <c r="A3" s="2" t="s">
        <v>15</v>
      </c>
      <c r="B3" s="2"/>
      <c r="C3" s="2"/>
    </row>
    <row r="5" spans="1:3" ht="25" customHeight="1">
      <c r="A5" s="1" t="s">
        <v>16</v>
      </c>
      <c r="B5" s="1" t="s">
        <v>17</v>
      </c>
      <c r="C5" s="1" t="s">
        <v>18</v>
      </c>
    </row>
    <row r="6" spans="1:3" ht="30" customHeight="1">
      <c r="A6" s="2" t="s">
        <v>70</v>
      </c>
      <c r="B6" s="3">
        <v>21375000</v>
      </c>
      <c r="C6" s="2" t="s">
        <v>71</v>
      </c>
    </row>
    <row r="7" spans="1:3" ht="30" customHeight="1">
      <c r="A7" s="2" t="s">
        <v>72</v>
      </c>
      <c r="B7" s="3">
        <v>375000</v>
      </c>
      <c r="C7" s="2" t="s">
        <v>73</v>
      </c>
    </row>
    <row r="8" spans="1:3" ht="30" customHeight="1">
      <c r="A8" s="2" t="s">
        <v>74</v>
      </c>
      <c r="B8" s="3">
        <v>21000000</v>
      </c>
      <c r="C8" s="2" t="s">
        <v>75</v>
      </c>
    </row>
    <row r="9" spans="1:3" ht="30" customHeight="1">
      <c r="A9" s="2" t="s">
        <v>76</v>
      </c>
      <c r="B9" s="3">
        <v>0</v>
      </c>
      <c r="C9" s="2" t="s">
        <v>77</v>
      </c>
    </row>
    <row r="10" spans="1:3" ht="30" customHeight="1">
      <c r="A10" s="2" t="s">
        <v>78</v>
      </c>
      <c r="B10" s="3">
        <v>0</v>
      </c>
      <c r="C10" s="2" t="s">
        <v>79</v>
      </c>
    </row>
    <row r="11" spans="1:3" ht="30" customHeight="1">
      <c r="A11" s="2" t="s">
        <v>80</v>
      </c>
      <c r="B11" s="3">
        <v>0</v>
      </c>
      <c r="C11" s="2" t="s">
        <v>81</v>
      </c>
    </row>
    <row r="12" spans="1:3" ht="30" customHeight="1">
      <c r="A12" s="2" t="s">
        <v>82</v>
      </c>
      <c r="B12" s="3">
        <v>0</v>
      </c>
      <c r="C12" s="2" t="s">
        <v>83</v>
      </c>
    </row>
    <row r="13" spans="1:3" ht="30" customHeight="1">
      <c r="A13" s="2" t="s">
        <v>84</v>
      </c>
      <c r="B13" s="3">
        <v>2008219</v>
      </c>
      <c r="C13" s="2" t="s">
        <v>85</v>
      </c>
    </row>
    <row r="14" spans="1:3" ht="30" customHeight="1">
      <c r="A14" s="2" t="s">
        <v>86</v>
      </c>
      <c r="B14" s="3">
        <v>41667</v>
      </c>
      <c r="C14" s="2" t="s">
        <v>87</v>
      </c>
    </row>
    <row r="15" spans="1:3" ht="30" customHeight="1">
      <c r="A15" s="2" t="s">
        <v>88</v>
      </c>
      <c r="B15" s="3">
        <v>1966552</v>
      </c>
      <c r="C15" s="2" t="s">
        <v>89</v>
      </c>
    </row>
    <row r="17" spans="1:3" ht="26" customHeight="1">
      <c r="A17" s="1" t="s">
        <v>35</v>
      </c>
      <c r="B17" s="1"/>
      <c r="C17" s="1"/>
    </row>
    <row r="18" spans="1:3" ht="32" customHeight="1">
      <c r="A18" s="2" t="s">
        <v>90</v>
      </c>
      <c r="B18" s="3">
        <f>B6-B7-B8</f>
        <v>0.0</v>
      </c>
      <c r="C18" s="2" t="s">
        <v>37</v>
      </c>
    </row>
    <row r="19" spans="1:3" ht="32" customHeight="1">
      <c r="A19" s="2" t="s">
        <v>91</v>
      </c>
      <c r="B19" s="3">
        <f>B9+B10-B11-B12</f>
        <v>0.0</v>
      </c>
      <c r="C19" s="2" t="s">
        <v>37</v>
      </c>
    </row>
    <row r="20" spans="1:3" ht="32" customHeight="1">
      <c r="A20" s="2" t="s">
        <v>92</v>
      </c>
      <c r="B20" s="3">
        <f>B13-B14-B15</f>
        <v>0.0</v>
      </c>
      <c r="C20" s="2" t="s">
        <v>37</v>
      </c>
    </row>
    <row r="22" spans="1:3" ht="66" customHeight="1">
      <c r="A22" s="2" t="s">
        <v>40</v>
      </c>
      <c r="B22" s="2" t="s">
        <v>93</v>
      </c>
      <c r="C22" s="2"/>
    </row>
    <row r="23" spans="1:3" ht="66" customHeight="1">
      <c r="A23" s="2" t="s">
        <v>42</v>
      </c>
      <c r="B23" s="2" t="s">
        <v>94</v>
      </c>
      <c r="C23" s="2"/>
    </row>
  </sheetData>
  <mergeCells count="6">
    <mergeCell ref="A1:C1"/>
    <mergeCell ref="A2:C2"/>
    <mergeCell ref="A3:C3"/>
    <mergeCell ref="A17:C17"/>
    <mergeCell ref="B22:C22"/>
    <mergeCell ref="B23:C23"/>
  </mergeCells>
  <pageMargins left="0.35" right="0.35" top="0.35" bottom="0.55" header="0.3" footer="0.2"/>
  <pageSetup paperSize="8" orientation="landscape"/>
  <headerFooter>
    <oddFooter>&amp;CSH-RECON-001 | &amp;A |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4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52.7109375" customWidth="1"/>
    <col min="2" max="2" width="22.7109375" customWidth="1"/>
    <col min="3" max="3" width="48.7109375" customWidth="1"/>
  </cols>
  <sheetData>
    <row r="1" spans="1:3" ht="30" customHeight="1">
      <c r="A1" s="1" t="s">
        <v>95</v>
      </c>
      <c r="B1" s="1"/>
      <c r="C1" s="1"/>
    </row>
    <row r="2" spans="1:3" ht="24" customHeight="1">
      <c r="A2" s="2" t="s">
        <v>1</v>
      </c>
      <c r="B2" s="2"/>
      <c r="C2" s="2"/>
    </row>
    <row r="3" spans="1:3" ht="25" customHeight="1">
      <c r="A3" s="2" t="s">
        <v>96</v>
      </c>
      <c r="B3" s="2"/>
      <c r="C3" s="2"/>
    </row>
    <row r="5" spans="1:3" ht="25" customHeight="1">
      <c r="A5" s="1" t="s">
        <v>16</v>
      </c>
      <c r="B5" s="1" t="s">
        <v>17</v>
      </c>
      <c r="C5" s="1" t="s">
        <v>18</v>
      </c>
    </row>
    <row r="6" spans="1:3" ht="30" customHeight="1">
      <c r="A6" s="2" t="s">
        <v>97</v>
      </c>
      <c r="B6" s="3">
        <v>240000</v>
      </c>
      <c r="C6" s="2" t="s">
        <v>98</v>
      </c>
    </row>
    <row r="7" spans="1:3" ht="30" customHeight="1">
      <c r="A7" s="2" t="s">
        <v>99</v>
      </c>
      <c r="B7" s="3">
        <v>0</v>
      </c>
      <c r="C7" s="2" t="s">
        <v>100</v>
      </c>
    </row>
    <row r="8" spans="1:3" ht="30" customHeight="1">
      <c r="A8" s="2" t="s">
        <v>101</v>
      </c>
      <c r="B8" s="3">
        <v>240000</v>
      </c>
      <c r="C8" s="2" t="s">
        <v>102</v>
      </c>
    </row>
    <row r="10" spans="1:3" ht="26" customHeight="1">
      <c r="A10" s="1" t="s">
        <v>35</v>
      </c>
      <c r="B10" s="1"/>
      <c r="C10" s="1"/>
    </row>
    <row r="11" spans="1:3" ht="32" customHeight="1">
      <c r="A11" s="2" t="s">
        <v>103</v>
      </c>
      <c r="B11" s="3">
        <f>B6-B7-B8</f>
        <v>0.0</v>
      </c>
      <c r="C11" s="2" t="s">
        <v>37</v>
      </c>
    </row>
    <row r="13" spans="1:3" ht="66" customHeight="1">
      <c r="A13" s="2" t="s">
        <v>40</v>
      </c>
      <c r="B13" s="2" t="s">
        <v>104</v>
      </c>
      <c r="C13" s="2"/>
    </row>
    <row r="14" spans="1:3" ht="66" customHeight="1">
      <c r="A14" s="2" t="s">
        <v>42</v>
      </c>
      <c r="B14" s="2" t="s">
        <v>105</v>
      </c>
      <c r="C14" s="2"/>
    </row>
  </sheetData>
  <mergeCells count="6">
    <mergeCell ref="A1:C1"/>
    <mergeCell ref="A2:C2"/>
    <mergeCell ref="A3:C3"/>
    <mergeCell ref="A10:C10"/>
    <mergeCell ref="B13:C13"/>
    <mergeCell ref="B14:C14"/>
  </mergeCells>
  <pageMargins left="0.35" right="0.35" top="0.35" bottom="0.55" header="0.3" footer="0.2"/>
  <pageSetup paperSize="8" orientation="landscape"/>
  <headerFooter>
    <oddFooter>&amp;CSH-RECON-001 | &amp;A |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1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10.7109375" customWidth="1"/>
    <col min="2" max="2" width="74.7109375" customWidth="1"/>
    <col min="3" max="3" width="76.7109375" customWidth="1"/>
  </cols>
  <sheetData>
    <row r="1" spans="1:3" ht="30" customHeight="1">
      <c r="A1" s="1" t="s">
        <v>106</v>
      </c>
      <c r="B1" s="1"/>
      <c r="C1" s="1"/>
    </row>
    <row r="2" spans="1:3" ht="24" customHeight="1">
      <c r="A2" s="2" t="s">
        <v>1</v>
      </c>
      <c r="B2" s="2"/>
      <c r="C2" s="2"/>
    </row>
    <row r="4" spans="1:3">
      <c r="A4" s="1" t="s">
        <v>107</v>
      </c>
      <c r="B4" s="1" t="s">
        <v>108</v>
      </c>
      <c r="C4" s="1" t="s">
        <v>109</v>
      </c>
    </row>
    <row r="5" spans="1:3" ht="52" customHeight="1">
      <c r="A5" s="2" t="s">
        <v>110</v>
      </c>
      <c r="B5" s="2" t="s">
        <v>111</v>
      </c>
      <c r="C5" s="2" t="s">
        <v>112</v>
      </c>
    </row>
    <row r="6" spans="1:3" ht="52" customHeight="1">
      <c r="A6" s="2" t="s">
        <v>113</v>
      </c>
      <c r="B6" s="2" t="s">
        <v>114</v>
      </c>
      <c r="C6" s="2" t="s">
        <v>115</v>
      </c>
    </row>
    <row r="7" spans="1:3" ht="52" customHeight="1">
      <c r="A7" s="2" t="s">
        <v>116</v>
      </c>
      <c r="B7" s="2" t="s">
        <v>117</v>
      </c>
      <c r="C7" s="2" t="s">
        <v>118</v>
      </c>
    </row>
    <row r="8" spans="1:3" ht="52" customHeight="1">
      <c r="A8" s="2" t="s">
        <v>119</v>
      </c>
      <c r="B8" s="2" t="s">
        <v>120</v>
      </c>
      <c r="C8" s="2" t="s">
        <v>121</v>
      </c>
    </row>
    <row r="9" spans="1:3" ht="52" customHeight="1">
      <c r="A9" s="2" t="s">
        <v>122</v>
      </c>
      <c r="B9" s="2" t="s">
        <v>123</v>
      </c>
      <c r="C9" s="2" t="s">
        <v>118</v>
      </c>
    </row>
    <row r="10" spans="1:3" ht="52" customHeight="1">
      <c r="A10" s="2" t="s">
        <v>124</v>
      </c>
      <c r="B10" s="2" t="s">
        <v>125</v>
      </c>
      <c r="C10" s="2" t="s">
        <v>126</v>
      </c>
    </row>
    <row r="11" spans="1:3" ht="52" customHeight="1">
      <c r="A11" s="2" t="s">
        <v>127</v>
      </c>
      <c r="B11" s="2" t="s">
        <v>128</v>
      </c>
      <c r="C11" s="2" t="s">
        <v>129</v>
      </c>
    </row>
  </sheetData>
  <mergeCells count="2">
    <mergeCell ref="A1:C1"/>
    <mergeCell ref="A2:C2"/>
  </mergeCells>
  <pageMargins left="0.35" right="0.35" top="0.35" bottom="0.55" header="0.3" footer="0.2"/>
  <pageSetup paperSize="8" orientation="landscape"/>
  <headerFooter>
    <oddFooter>&amp;CSH-RECON-001 | &amp;A |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Read first</vt:lpstr>
      <vt:lpstr>bank</vt:lpstr>
      <vt:lpstr>ar</vt:lpstr>
      <vt:lpstr>ap</vt:lpstr>
      <vt:lpstr>debt</vt:lpstr>
      <vt:lpstr>fixed-assets</vt:lpstr>
      <vt:lpstr>Source register</vt:lpstr>
      <vt:lpstr>ap!Print_Area</vt:lpstr>
      <vt:lpstr>ar!Print_Area</vt:lpstr>
      <vt:lpstr>bank!Print_Area</vt:lpstr>
      <vt:lpstr>debt!Print_Area</vt:lpstr>
      <vt:lpstr>'fixed-assets'!Print_Area</vt:lpstr>
      <vt:lpstr>'Read first'!Print_Area</vt:lpstr>
      <vt:lpstr>'Source register'!Print_Area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Sable Harbor reconciliation practice</dc:title>
  <dc:creator/>
  <cp:lastModifiedBy/>
  <dcterms:created xsi:type="dcterms:W3CDTF">2026-09-12T00:00:00Z</dcterms:created>
  <dcterms:modified xsi:type="dcterms:W3CDTF">2026-09-12T00:00:00Z</dcterms:modified>
</cp:coreProperties>
</file>