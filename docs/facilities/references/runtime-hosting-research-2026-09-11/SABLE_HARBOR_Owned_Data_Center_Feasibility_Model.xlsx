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e07671153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 Inputs" sheetId="1" r:id="Rcb1989c6bb494f44"/>
    <x:sheet xmlns:r="http://schemas.openxmlformats.org/officeDocument/2006/relationships" name="Scale Inputs" sheetId="2" r:id="Ra8ad3a23a66e4c05"/>
    <x:sheet xmlns:r="http://schemas.openxmlformats.org/officeDocument/2006/relationships" name="TCO Model" sheetId="3" r:id="R14671a7828614e8c"/>
    <x:sheet xmlns:r="http://schemas.openxmlformats.org/officeDocument/2006/relationships" name="Executive Summary" sheetId="4" r:id="R1b8b71b862394ed6"/>
    <x:sheet xmlns:r="http://schemas.openxmlformats.org/officeDocument/2006/relationships" name="Colo Sensitivity" sheetId="5" r:id="R66dee5193af94a3f"/>
    <x:sheet xmlns:r="http://schemas.openxmlformats.org/officeDocument/2006/relationships" name="Sources" sheetId="6" r:id="R5449a19a1f27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38c5f9d724400" /><Relationship Type="http://schemas.openxmlformats.org/officeDocument/2006/relationships/theme" Target="/xl/theme/theme1.xml" Id="R2ee7ce66a72a4004" /><Relationship Type="http://schemas.openxmlformats.org/officeDocument/2006/relationships/sharedStrings" Target="/xl/sharedStrings.xml" Id="Re921b16ab9014a5a" /><Relationship Type="http://schemas.openxmlformats.org/officeDocument/2006/relationships/worksheet" Target="/xl/worksheets/sheet1.xml" Id="Rcb1989c6bb494f44" /><Relationship Type="http://schemas.openxmlformats.org/officeDocument/2006/relationships/worksheet" Target="/xl/worksheets/sheet2.xml" Id="Ra8ad3a23a66e4c05" /><Relationship Type="http://schemas.openxmlformats.org/officeDocument/2006/relationships/worksheet" Target="/xl/worksheets/sheet3.xml" Id="R14671a7828614e8c" /><Relationship Type="http://schemas.openxmlformats.org/officeDocument/2006/relationships/worksheet" Target="/xl/worksheets/sheet4.xml" Id="R1b8b71b862394ed6" /><Relationship Type="http://schemas.openxmlformats.org/officeDocument/2006/relationships/worksheet" Target="/xl/worksheets/sheet5.xml" Id="R66dee5193af94a3f" /><Relationship Type="http://schemas.openxmlformats.org/officeDocument/2006/relationships/worksheet" Target="/xl/worksheets/sheet6.xml" Id="R5449a19a1f2744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8799991607666" hidden="0" customWidth="1"/>
    <x:col min="2" max="2" width="15.880000114440918" hidden="0" customWidth="1"/>
    <x:col min="3" max="3" width="19.5" hidden="0" customWidth="1"/>
    <x:col min="4" max="4" width="17.75" hidden="0" customWidth="1"/>
    <x:col min="5" max="5" width="3.75" hidden="0" customWidth="1"/>
    <x:col min="6" max="6" width="15.25" hidden="0" customWidth="1"/>
    <x:col min="7" max="7" width="14.880000114440918" hidden="0" customWidth="1"/>
    <x:col min="8" max="8" width="16.25" hidden="0" customWidth="1"/>
    <x:col min="9" max="9" width="23.3799991607666" hidden="0" customWidth="1"/>
    <x:col min="10" max="10" width="42" hidden="0" customWidth="1"/>
  </x:cols>
  <x:sheetData>
    <x:row r="1" ht="15" hidden="0" customHeight="1">
      <x:c r="A1" s="4" t="str">
        <x:v>Site</x:v>
      </x:c>
      <x:c r="B1" s="4" t="str">
        <x:v>Lease $/SF/mo NNN</x:v>
      </x:c>
      <x:c r="C1" s="4" t="str">
        <x:v>Purchase $/SF (planning)</x:v>
      </x:c>
      <x:c r="D1" s="4" t="str">
        <x:v>Blended power $/kWh</x:v>
      </x:c>
      <x:c r="E1" s="4" t="str">
        <x:v>PUE</x:v>
      </x:c>
      <x:c r="F1" s="4" t="str">
        <x:v>Facilities wage $/hr</x:v>
      </x:c>
      <x:c r="G1" s="4" t="str">
        <x:v>Security wage $/hr</x:v>
      </x:c>
      <x:c r="H1" s="4" t="str">
        <x:v>Regional build factor</x:v>
      </x:c>
      <x:c r="I1" s="4" t="str">
        <x:v>Tax+insurance % of real estate</x:v>
      </x:c>
      <x:c r="J1" s="4" t="str">
        <x:v>Evidence / note</x:v>
      </x:c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Reno / Storey County</x:v>
      </x:c>
      <x:c r="B2" s="10" t="n">
        <x:v>0.8</x:v>
      </x:c>
      <x:c r="C2" s="10" t="n">
        <x:v>180</x:v>
      </x:c>
      <x:c r="D2" s="10" t="n">
        <x:v>0.1</x:v>
      </x:c>
      <x:c r="E2" s="10" t="n">
        <x:v>1.35</x:v>
      </x:c>
      <x:c r="F2" s="10" t="n">
        <x:v>31.26</x:v>
      </x:c>
      <x:c r="G2" s="10" t="n">
        <x:v>33.31</x:v>
      </x:c>
      <x:c r="H2" s="10" t="n">
        <x:v>1</x:v>
      </x:c>
      <x:c r="I2" s="10" t="n">
        <x:v>0.013</x:v>
      </x:c>
      <x:c r="J2" s="8" t="str">
        <x:v>Lease: Colliers Q2 2026. Power: NV Energy current rates/planning blend. BLS May 2025 wages.</x:v>
      </x:c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Sacramento</x:v>
      </x:c>
      <x:c r="B3" s="10" t="n">
        <x:v>0.81</x:v>
      </x:c>
      <x:c r="C3" s="10" t="n">
        <x:v>150</x:v>
      </x:c>
      <x:c r="D3" s="10" t="n">
        <x:v>0.14</x:v>
      </x:c>
      <x:c r="E3" s="10" t="n">
        <x:v>1.4</x:v>
      </x:c>
      <x:c r="F3" s="10" t="n">
        <x:v>33.59</x:v>
      </x:c>
      <x:c r="G3" s="10" t="n">
        <x:v>36.46</x:v>
      </x:c>
      <x:c r="H3" s="10" t="n">
        <x:v>1.15</x:v>
      </x:c>
      <x:c r="I3" s="10" t="n">
        <x:v>0.016</x:v>
      </x:c>
      <x:c r="J3" s="8" t="str">
        <x:v>Lease: CBRE Q2 2026. Power: SMUD 2026 commercial tariffs/planning blend. BLS May 2025 wages.</x:v>
      </x:c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Boise</x:v>
      </x:c>
      <x:c r="B4" s="10" t="n">
        <x:v>0.91</x:v>
      </x:c>
      <x:c r="C4" s="10" t="n">
        <x:v>165</x:v>
      </x:c>
      <x:c r="D4" s="10" t="n">
        <x:v>0.075</x:v>
      </x:c>
      <x:c r="E4" s="10" t="n">
        <x:v>1.3</x:v>
      </x:c>
      <x:c r="F4" s="10" t="n">
        <x:v>29</x:v>
      </x:c>
      <x:c r="G4" s="10" t="n">
        <x:v>29</x:v>
      </x:c>
      <x:c r="H4" s="10" t="n">
        <x:v>0.92</x:v>
      </x:c>
      <x:c r="I4" s="10" t="n">
        <x:v>0.012</x:v>
      </x:c>
      <x:c r="J4" s="8" t="str">
        <x:v>Lease: CBRE Q2 2026. Power: Idaho Power Schedule 9. BLS construction wage; facilities/security are planning approximations.</x:v>
      </x:c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Las Vegas</x:v>
      </x:c>
      <x:c r="B5" s="10" t="n">
        <x:v>1.1</x:v>
      </x:c>
      <x:c r="C5" s="10" t="n">
        <x:v>185</x:v>
      </x:c>
      <x:c r="D5" s="10" t="n">
        <x:v>0.09</x:v>
      </x:c>
      <x:c r="E5" s="10" t="n">
        <x:v>1.5</x:v>
      </x:c>
      <x:c r="F5" s="10" t="n">
        <x:v>30.16</x:v>
      </x:c>
      <x:c r="G5" s="10" t="n">
        <x:v>25.43</x:v>
      </x:c>
      <x:c r="H5" s="10" t="n">
        <x:v>1.02</x:v>
      </x:c>
      <x:c r="I5" s="10" t="n">
        <x:v>0.012</x:v>
      </x:c>
      <x:c r="J5" s="8" t="str">
        <x:v>Lease: Colliers Q2 2026. Power: NV Energy current rates/planning blend. BLS May 2025 wages.</x:v>
      </x:c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Salt Lake City</x:v>
      </x:c>
      <x:c r="B6" s="10" t="n">
        <x:v>0.87</x:v>
      </x:c>
      <x:c r="C6" s="10" t="n">
        <x:v>180</x:v>
      </x:c>
      <x:c r="D6" s="10" t="n">
        <x:v>0.08</x:v>
      </x:c>
      <x:c r="E6" s="10" t="n">
        <x:v>1.35</x:v>
      </x:c>
      <x:c r="F6" s="10" t="n">
        <x:v>30.61</x:v>
      </x:c>
      <x:c r="G6" s="10" t="n">
        <x:v>29.61</x:v>
      </x:c>
      <x:c r="H6" s="10" t="n">
        <x:v>0.98</x:v>
      </x:c>
      <x:c r="I6" s="10" t="n">
        <x:v>0.012</x:v>
      </x:c>
      <x:c r="J6" s="8" t="str">
        <x:v>Lease: Colliers Q2 2026. Power: Rocky Mountain Power Schedule 6. BLS May 2025 wages.</x:v>
      </x:c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str">
        <x:v>Quincy / Central Washington</x:v>
      </x:c>
      <x:c r="B7" s="10" t="n">
        <x:v>0.65</x:v>
      </x:c>
      <x:c r="C7" s="10" t="n">
        <x:v>125</x:v>
      </x:c>
      <x:c r="D7" s="10" t="n">
        <x:v>0.06</x:v>
      </x:c>
      <x:c r="E7" s="10" t="n">
        <x:v>1.25</x:v>
      </x:c>
      <x:c r="F7" s="10" t="n">
        <x:v>30</x:v>
      </x:c>
      <x:c r="G7" s="10" t="n">
        <x:v>28</x:v>
      </x:c>
      <x:c r="H7" s="10" t="n">
        <x:v>0.95</x:v>
      </x:c>
      <x:c r="I7" s="10" t="n">
        <x:v>0.013</x:v>
      </x:c>
      <x:c r="J7" s="8" t="str">
        <x:v>Planning estimate anchored to rural WA power/data-center economics; local property inputs need parcel-level diligence.</x:v>
      </x:c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.880000114440918" hidden="0" customWidth="1"/>
    <x:col min="3" max="3" width="23.6299991607666" hidden="0" customWidth="1"/>
    <x:col min="4" max="4" width="10.130000114440918" hidden="0" customWidth="1"/>
    <x:col min="5" max="5" width="9.75" hidden="0" customWidth="1"/>
    <x:col min="6" max="6" width="20.6299991607666" hidden="0" customWidth="1"/>
    <x:col min="7" max="7" width="15.5" hidden="0" customWidth="1"/>
    <x:col min="8" max="8" width="16.25" hidden="0" customWidth="1"/>
  </x:cols>
  <x:sheetData>
    <x:row r="1" ht="15" hidden="0" customHeight="1">
      <x:c r="A1" s="4" t="str">
        <x:v>IT Capacity (kW)</x:v>
      </x:c>
      <x:c r="B1" s="4" t="str">
        <x:v>Building SF</x:v>
      </x:c>
      <x:c r="C1" s="4" t="str">
        <x:v>Conversion CAPEX baseline ($)</x:v>
      </x:c>
      <x:c r="D1" s="4" t="str">
        <x:v>Facilities FTE</x:v>
      </x:c>
      <x:c r="E1" s="4" t="str">
        <x:v>Security FTE</x:v>
      </x:c>
      <x:c r="F1" s="4" t="str">
        <x:v>Telecom/carrier annual ($)</x:v>
      </x:c>
      <x:c r="G1" s="4" t="str">
        <x:v>Colo base $/kW-mo</x:v>
      </x:c>
      <x:c r="H1" s="4" t="str">
        <x:v>Fixed colo annual ($)</x:v>
      </x:c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10" t="n">
        <x:v>25</x:v>
      </x:c>
      <x:c r="B2" s="10" t="n">
        <x:v>4000</x:v>
      </x:c>
      <x:c r="C2" s="10" t="n">
        <x:v>1100000</x:v>
      </x:c>
      <x:c r="D2" s="10" t="n">
        <x:v>1.25</x:v>
      </x:c>
      <x:c r="E2" s="10" t="n">
        <x:v>0.25</x:v>
      </x:c>
      <x:c r="F2" s="10" t="n">
        <x:v>36000</x:v>
      </x:c>
      <x:c r="G2" s="10" t="n">
        <x:v>350</x:v>
      </x:c>
      <x:c r="H2" s="10" t="n">
        <x:v>36000</x:v>
      </x:c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10" t="n">
        <x:v>50</x:v>
      </x:c>
      <x:c r="B3" s="10" t="n">
        <x:v>5000</x:v>
      </x:c>
      <x:c r="C3" s="10" t="n">
        <x:v>1350000</x:v>
      </x:c>
      <x:c r="D3" s="10" t="n">
        <x:v>1.5</x:v>
      </x:c>
      <x:c r="E3" s="10" t="n">
        <x:v>0.35</x:v>
      </x:c>
      <x:c r="F3" s="10" t="n">
        <x:v>42000</x:v>
      </x:c>
      <x:c r="G3" s="10" t="n">
        <x:v>350</x:v>
      </x:c>
      <x:c r="H3" s="10" t="n">
        <x:v>36000</x:v>
      </x:c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10" t="n">
        <x:v>100</x:v>
      </x:c>
      <x:c r="B4" s="10" t="n">
        <x:v>6000</x:v>
      </x:c>
      <x:c r="C4" s="10" t="n">
        <x:v>1800000</x:v>
      </x:c>
      <x:c r="D4" s="10" t="n">
        <x:v>2</x:v>
      </x:c>
      <x:c r="E4" s="10" t="n">
        <x:v>0.5</x:v>
      </x:c>
      <x:c r="F4" s="10" t="n">
        <x:v>54000</x:v>
      </x:c>
      <x:c r="G4" s="10" t="n">
        <x:v>350</x:v>
      </x:c>
      <x:c r="H4" s="10" t="n">
        <x:v>54000</x:v>
      </x:c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10" t="n">
        <x:v>250</x:v>
      </x:c>
      <x:c r="B5" s="10" t="n">
        <x:v>9000</x:v>
      </x:c>
      <x:c r="C5" s="10" t="n">
        <x:v>3000000</x:v>
      </x:c>
      <x:c r="D5" s="10" t="n">
        <x:v>3</x:v>
      </x:c>
      <x:c r="E5" s="10" t="n">
        <x:v>0.75</x:v>
      </x:c>
      <x:c r="F5" s="10" t="n">
        <x:v>72000</x:v>
      </x:c>
      <x:c r="G5" s="10" t="n">
        <x:v>350</x:v>
      </x:c>
      <x:c r="H5" s="10" t="n">
        <x:v>72000</x:v>
      </x:c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.380000114440918" hidden="0" customWidth="1"/>
    <x:col min="3" max="3" width="4.5" hidden="0" customWidth="1"/>
    <x:col min="4" max="4" width="8.880000114440918" hidden="0" customWidth="1"/>
    <x:col min="5" max="5" width="12.880000114440918" hidden="0" customWidth="1"/>
    <x:col min="6" max="6" width="14.380000114440918" hidden="0" customWidth="1"/>
    <x:col min="7" max="7" width="14.380000114440918" hidden="0" customWidth="1"/>
    <x:col min="8" max="8" width="11.5" hidden="0" customWidth="1"/>
    <x:col min="9" max="9" width="17.6299991607666" hidden="0" customWidth="1"/>
    <x:col min="10" max="10" width="17.25" hidden="0" customWidth="1"/>
    <x:col min="11" max="11" width="16.3799991607666" hidden="0" customWidth="1"/>
    <x:col min="12" max="12" width="17.1299991607666" hidden="0" customWidth="1"/>
    <x:col min="13" max="13" width="12.630000114440918" hidden="0" customWidth="1"/>
    <x:col min="14" max="14" width="10.5" hidden="0" customWidth="1"/>
    <x:col min="15" max="15" width="11.630000114440918" hidden="0" customWidth="1"/>
    <x:col min="16" max="16" width="9.880000114440918" hidden="0" customWidth="1"/>
    <x:col min="17" max="17" width="9.75" hidden="0" customWidth="1"/>
    <x:col min="18" max="18" width="9.880000114440918" hidden="0" customWidth="1"/>
    <x:col min="19" max="19" width="11.880000114440918" hidden="0" customWidth="1"/>
    <x:col min="20" max="20" width="13" hidden="0" customWidth="1"/>
  </x:cols>
  <x:sheetData>
    <x:row r="1" ht="15" hidden="0" customHeight="1">
      <x:c r="A1" s="4" t="str">
        <x:v>Site</x:v>
      </x:c>
      <x:c r="B1" s="4" t="str">
        <x:v>kW</x:v>
      </x:c>
      <x:c r="C1" s="4" t="str">
        <x:v>Years</x:v>
      </x:c>
      <x:c r="D1" s="4" t="str">
        <x:v>Building SF</x:v>
      </x:c>
      <x:c r="E1" s="4" t="str">
        <x:v>Purchase CAPEX</x:v>
      </x:c>
      <x:c r="F1" s="4" t="str">
        <x:v>Conversion CAPEX</x:v>
      </x:c>
      <x:c r="G1" s="4" t="str">
        <x:v>Total Initial CAPEX</x:v>
      </x:c>
      <x:c r="H1" s="4" t="str">
        <x:v>Annual Energy</x:v>
      </x:c>
      <x:c r="I1" s="4" t="str">
        <x:v>Annual Facilities Labor</x:v>
      </x:c>
      <x:c r="J1" s="4" t="str">
        <x:v>Annual Security Labor</x:v>
      </x:c>
      <x:c r="K1" s="4" t="str">
        <x:v>Annual Maintenance</x:v>
      </x:c>
      <x:c r="L1" s="4" t="str">
        <x:v>Annual Tax+Insurance</x:v>
      </x:c>
      <x:c r="M1" s="4" t="str">
        <x:v>Annual Telecom</x:v>
      </x:c>
      <x:c r="N1" s="4" t="str">
        <x:v>Annual OPEX</x:v>
      </x:c>
      <x:c r="O1" s="4" t="str">
        <x:v>Residual Value</x:v>
      </x:c>
      <x:c r="P1" s="4" t="str">
        <x:v>Owned TCO</x:v>
      </x:c>
      <x:c r="Q1" s="4" t="str">
        <x:v>Colo Annual</x:v>
      </x:c>
      <x:c r="R1" s="4" t="str">
        <x:v>Colo TCO</x:v>
      </x:c>
      <x:c r="S1" s="4" t="str">
        <x:v>Owned vs Colo</x:v>
      </x:c>
      <x:c r="T1" s="4" t="str">
        <x:v>Breakeven Years</x:v>
      </x:c>
      <x:c r="U1" s="4"/>
      <x:c r="V1" s="4"/>
      <x:c r="W1" s="4"/>
      <x:c r="X1" s="4"/>
      <x:c r="Y1" s="4"/>
      <x:c r="Z1" s="4"/>
    </x:row>
    <x:row r="2" ht="15" hidden="0" customHeight="1">
      <x:c r="A2" s="8" t="str">
        <x:f>'Site Inputs'!A2</x:f>
        <x:v>Reno / Storey County</x:v>
      </x:c>
      <x:c r="B2" s="8" t="n">
        <x:f>'Scale Inputs'!A2</x:f>
        <x:v>25</x:v>
      </x:c>
      <x:c r="C2" s="8" t="n">
        <x:v>5</x:v>
      </x:c>
      <x:c r="D2" s="8" t="n">
        <x:f>'Scale Inputs'!B2</x:f>
        <x:v>4000</x:v>
      </x:c>
      <x:c r="E2" s="12" t="n">
        <x:f>D2*'Site Inputs'!C2</x:f>
        <x:v>720000</x:v>
      </x:c>
      <x:c r="F2" s="12" t="n">
        <x:f>'Scale Inputs'!C2*'Site Inputs'!H2</x:f>
        <x:v>1100000</x:v>
      </x:c>
      <x:c r="G2" s="12" t="n">
        <x:f>E2+F2</x:f>
        <x:v>1820000</x:v>
      </x:c>
      <x:c r="H2" s="12" t="n">
        <x:f>B2*0.8*8760*'Site Inputs'!E2*'Site Inputs'!D2</x:f>
        <x:v>23652.000000000004</x:v>
      </x:c>
      <x:c r="I2" s="12" t="n">
        <x:f>'Scale Inputs'!D2*'Site Inputs'!F2*2080*1.4</x:f>
        <x:v>113786.4</x:v>
      </x:c>
      <x:c r="J2" s="12" t="n">
        <x:f>'Scale Inputs'!E2*'Site Inputs'!G2*2080*1.4</x:f>
        <x:v>24249.68</x:v>
      </x:c>
      <x:c r="K2" s="12" t="n">
        <x:f>F2*2.5%</x:f>
        <x:v>27500</x:v>
      </x:c>
      <x:c r="L2" s="12" t="n">
        <x:f>E2*'Site Inputs'!I2</x:f>
        <x:v>9360</x:v>
      </x:c>
      <x:c r="M2" s="12" t="n">
        <x:f>'Scale Inputs'!F2</x:f>
        <x:v>36000</x:v>
      </x:c>
      <x:c r="N2" s="12" t="n">
        <x:f>SUM(H2:M2)</x:f>
        <x:v>234548.08</x:v>
      </x:c>
      <x:c r="O2" s="12" t="n">
        <x:f>E2*70%+F2*20%</x:f>
        <x:v>724000</x:v>
      </x:c>
      <x:c r="P2" s="12" t="n">
        <x:f>G2+N2*C2-O2</x:f>
        <x:v>2268740.4</x:v>
      </x:c>
      <x:c r="Q2" s="12" t="n">
        <x:f>B2*'Scale Inputs'!G2*12+'Scale Inputs'!H2</x:f>
        <x:v>141000</x:v>
      </x:c>
      <x:c r="R2" s="12" t="n">
        <x:f>Q2*C2</x:f>
        <x:v>705000</x:v>
      </x:c>
      <x:c r="S2" s="12" t="n">
        <x:f>P2-R2</x:f>
        <x:v>1563740.4</x:v>
      </x:c>
      <x:c r="T2" s="8" t="str">
        <x:f>IF(Q2&lt;=N2,"N/M",(G2-O2)/(Q2-N2))</x:f>
        <x:v>N/M</x:v>
      </x:c>
      <x:c r="U2" s="8"/>
      <x:c r="V2" s="8"/>
      <x:c r="W2" s="8"/>
      <x:c r="X2" s="8"/>
      <x:c r="Y2" s="8"/>
      <x:c r="Z2" s="8"/>
    </x:row>
    <x:row r="3" ht="15" hidden="0" customHeight="1">
      <x:c r="A3" s="8" t="str">
        <x:f>'Site Inputs'!A2</x:f>
        <x:v>Reno / Storey County</x:v>
      </x:c>
      <x:c r="B3" s="8" t="n">
        <x:f>'Scale Inputs'!A2</x:f>
        <x:v>25</x:v>
      </x:c>
      <x:c r="C3" s="8" t="n">
        <x:v>10</x:v>
      </x:c>
      <x:c r="D3" s="8" t="n">
        <x:f>'Scale Inputs'!B2</x:f>
        <x:v>4000</x:v>
      </x:c>
      <x:c r="E3" s="12" t="n">
        <x:f>D3*'Site Inputs'!C2</x:f>
        <x:v>720000</x:v>
      </x:c>
      <x:c r="F3" s="12" t="n">
        <x:f>'Scale Inputs'!C2*'Site Inputs'!H2</x:f>
        <x:v>1100000</x:v>
      </x:c>
      <x:c r="G3" s="12" t="n">
        <x:f>E3+F3</x:f>
        <x:v>1820000</x:v>
      </x:c>
      <x:c r="H3" s="12" t="n">
        <x:f>B3*0.8*8760*'Site Inputs'!E2*'Site Inputs'!D2</x:f>
        <x:v>23652.000000000004</x:v>
      </x:c>
      <x:c r="I3" s="12" t="n">
        <x:f>'Scale Inputs'!D2*'Site Inputs'!F2*2080*1.4</x:f>
        <x:v>113786.4</x:v>
      </x:c>
      <x:c r="J3" s="12" t="n">
        <x:f>'Scale Inputs'!E2*'Site Inputs'!G2*2080*1.4</x:f>
        <x:v>24249.68</x:v>
      </x:c>
      <x:c r="K3" s="12" t="n">
        <x:f>F3*2.5%</x:f>
        <x:v>27500</x:v>
      </x:c>
      <x:c r="L3" s="12" t="n">
        <x:f>E3*'Site Inputs'!I2</x:f>
        <x:v>9360</x:v>
      </x:c>
      <x:c r="M3" s="12" t="n">
        <x:f>'Scale Inputs'!F2</x:f>
        <x:v>36000</x:v>
      </x:c>
      <x:c r="N3" s="12" t="n">
        <x:f>SUM(H3:M3)</x:f>
        <x:v>234548.08</x:v>
      </x:c>
      <x:c r="O3" s="12" t="n">
        <x:f>E3*70%+F3*20%</x:f>
        <x:v>724000</x:v>
      </x:c>
      <x:c r="P3" s="12" t="n">
        <x:f>G3+N3*C3-O3</x:f>
        <x:v>3441480.8</x:v>
      </x:c>
      <x:c r="Q3" s="12" t="n">
        <x:f>B3*'Scale Inputs'!G2*12+'Scale Inputs'!H2</x:f>
        <x:v>141000</x:v>
      </x:c>
      <x:c r="R3" s="12" t="n">
        <x:f>Q3*C3</x:f>
        <x:v>1410000</x:v>
      </x:c>
      <x:c r="S3" s="12" t="n">
        <x:f>P3-R3</x:f>
        <x:v>2031480.7999999998</x:v>
      </x:c>
      <x:c r="T3" s="8" t="str">
        <x:f>IF(Q3&lt;=N3,"N/M",(G3-O3)/(Q3-N3))</x:f>
        <x:v>N/M</x:v>
      </x:c>
      <x:c r="U3" s="8"/>
      <x:c r="V3" s="8"/>
      <x:c r="W3" s="8"/>
      <x:c r="X3" s="8"/>
      <x:c r="Y3" s="8"/>
      <x:c r="Z3" s="8"/>
    </x:row>
    <x:row r="4" ht="15" hidden="0" customHeight="1">
      <x:c r="A4" s="8" t="str">
        <x:f>'Site Inputs'!A2</x:f>
        <x:v>Reno / Storey County</x:v>
      </x:c>
      <x:c r="B4" s="8" t="n">
        <x:f>'Scale Inputs'!A2</x:f>
        <x:v>25</x:v>
      </x:c>
      <x:c r="C4" s="8" t="n">
        <x:v>15</x:v>
      </x:c>
      <x:c r="D4" s="8" t="n">
        <x:f>'Scale Inputs'!B2</x:f>
        <x:v>4000</x:v>
      </x:c>
      <x:c r="E4" s="12" t="n">
        <x:f>D4*'Site Inputs'!C2</x:f>
        <x:v>720000</x:v>
      </x:c>
      <x:c r="F4" s="12" t="n">
        <x:f>'Scale Inputs'!C2*'Site Inputs'!H2</x:f>
        <x:v>1100000</x:v>
      </x:c>
      <x:c r="G4" s="12" t="n">
        <x:f>E4+F4</x:f>
        <x:v>1820000</x:v>
      </x:c>
      <x:c r="H4" s="12" t="n">
        <x:f>B4*0.8*8760*'Site Inputs'!E2*'Site Inputs'!D2</x:f>
        <x:v>23652.000000000004</x:v>
      </x:c>
      <x:c r="I4" s="12" t="n">
        <x:f>'Scale Inputs'!D2*'Site Inputs'!F2*2080*1.4</x:f>
        <x:v>113786.4</x:v>
      </x:c>
      <x:c r="J4" s="12" t="n">
        <x:f>'Scale Inputs'!E2*'Site Inputs'!G2*2080*1.4</x:f>
        <x:v>24249.68</x:v>
      </x:c>
      <x:c r="K4" s="12" t="n">
        <x:f>F4*2.5%</x:f>
        <x:v>27500</x:v>
      </x:c>
      <x:c r="L4" s="12" t="n">
        <x:f>E4*'Site Inputs'!I2</x:f>
        <x:v>9360</x:v>
      </x:c>
      <x:c r="M4" s="12" t="n">
        <x:f>'Scale Inputs'!F2</x:f>
        <x:v>36000</x:v>
      </x:c>
      <x:c r="N4" s="12" t="n">
        <x:f>SUM(H4:M4)</x:f>
        <x:v>234548.08</x:v>
      </x:c>
      <x:c r="O4" s="12" t="n">
        <x:f>E4*70%+F4*20%</x:f>
        <x:v>724000</x:v>
      </x:c>
      <x:c r="P4" s="12" t="n">
        <x:f>G4+N4*C4-O4</x:f>
        <x:v>4614221.199999999</x:v>
      </x:c>
      <x:c r="Q4" s="12" t="n">
        <x:f>B4*'Scale Inputs'!G2*12+'Scale Inputs'!H2</x:f>
        <x:v>141000</x:v>
      </x:c>
      <x:c r="R4" s="12" t="n">
        <x:f>Q4*C4</x:f>
        <x:v>2115000</x:v>
      </x:c>
      <x:c r="S4" s="12" t="n">
        <x:f>P4-R4</x:f>
        <x:v>2499221.1999999993</x:v>
      </x:c>
      <x:c r="T4" s="8" t="str">
        <x:f>IF(Q4&lt;=N4,"N/M",(G4-O4)/(Q4-N4))</x:f>
        <x:v>N/M</x:v>
      </x:c>
      <x:c r="U4" s="8"/>
      <x:c r="V4" s="8"/>
      <x:c r="W4" s="8"/>
      <x:c r="X4" s="8"/>
      <x:c r="Y4" s="8"/>
      <x:c r="Z4" s="8"/>
    </x:row>
    <x:row r="5" ht="15" hidden="0" customHeight="1">
      <x:c r="A5" s="8" t="str">
        <x:f>'Site Inputs'!A2</x:f>
        <x:v>Reno / Storey County</x:v>
      </x:c>
      <x:c r="B5" s="8" t="n">
        <x:f>'Scale Inputs'!A3</x:f>
        <x:v>50</x:v>
      </x:c>
      <x:c r="C5" s="8" t="n">
        <x:v>5</x:v>
      </x:c>
      <x:c r="D5" s="8" t="n">
        <x:f>'Scale Inputs'!B3</x:f>
        <x:v>5000</x:v>
      </x:c>
      <x:c r="E5" s="12" t="n">
        <x:f>D5*'Site Inputs'!C2</x:f>
        <x:v>900000</x:v>
      </x:c>
      <x:c r="F5" s="12" t="n">
        <x:f>'Scale Inputs'!C3*'Site Inputs'!H2</x:f>
        <x:v>1350000</x:v>
      </x:c>
      <x:c r="G5" s="12" t="n">
        <x:f>E5+F5</x:f>
        <x:v>2250000</x:v>
      </x:c>
      <x:c r="H5" s="12" t="n">
        <x:f>B5*0.8*8760*'Site Inputs'!E2*'Site Inputs'!D2</x:f>
        <x:v>47304.00000000001</x:v>
      </x:c>
      <x:c r="I5" s="12" t="n">
        <x:f>'Scale Inputs'!D3*'Site Inputs'!F2*2080*1.4</x:f>
        <x:v>136543.68</x:v>
      </x:c>
      <x:c r="J5" s="12" t="n">
        <x:f>'Scale Inputs'!E3*'Site Inputs'!G2*2080*1.4</x:f>
        <x:v>33949.551999999996</x:v>
      </x:c>
      <x:c r="K5" s="12" t="n">
        <x:f>F5*2.5%</x:f>
        <x:v>33750</x:v>
      </x:c>
      <x:c r="L5" s="12" t="n">
        <x:f>E5*'Site Inputs'!I2</x:f>
        <x:v>11700</x:v>
      </x:c>
      <x:c r="M5" s="12" t="n">
        <x:f>'Scale Inputs'!F3</x:f>
        <x:v>42000</x:v>
      </x:c>
      <x:c r="N5" s="12" t="n">
        <x:f>SUM(H5:M5)</x:f>
        <x:v>305247.23199999996</x:v>
      </x:c>
      <x:c r="O5" s="12" t="n">
        <x:f>E5*70%+F5*20%</x:f>
        <x:v>900000</x:v>
      </x:c>
      <x:c r="P5" s="12" t="n">
        <x:f>G5+N5*C5-O5</x:f>
        <x:v>2876236.1599999997</x:v>
      </x:c>
      <x:c r="Q5" s="12" t="n">
        <x:f>B5*'Scale Inputs'!G3*12+'Scale Inputs'!H3</x:f>
        <x:v>246000</x:v>
      </x:c>
      <x:c r="R5" s="12" t="n">
        <x:f>Q5*C5</x:f>
        <x:v>1230000</x:v>
      </x:c>
      <x:c r="S5" s="12" t="n">
        <x:f>P5-R5</x:f>
        <x:v>1646236.1599999997</x:v>
      </x:c>
      <x:c r="T5" s="8" t="str">
        <x:f>IF(Q5&lt;=N5,"N/M",(G5-O5)/(Q5-N5))</x:f>
        <x:v>N/M</x:v>
      </x:c>
      <x:c r="U5" s="8"/>
      <x:c r="V5" s="8"/>
      <x:c r="W5" s="8"/>
      <x:c r="X5" s="8"/>
      <x:c r="Y5" s="8"/>
      <x:c r="Z5" s="8"/>
    </x:row>
    <x:row r="6" ht="15" hidden="0" customHeight="1">
      <x:c r="A6" s="8" t="str">
        <x:f>'Site Inputs'!A2</x:f>
        <x:v>Reno / Storey County</x:v>
      </x:c>
      <x:c r="B6" s="8" t="n">
        <x:f>'Scale Inputs'!A3</x:f>
        <x:v>50</x:v>
      </x:c>
      <x:c r="C6" s="8" t="n">
        <x:v>10</x:v>
      </x:c>
      <x:c r="D6" s="8" t="n">
        <x:f>'Scale Inputs'!B3</x:f>
        <x:v>5000</x:v>
      </x:c>
      <x:c r="E6" s="12" t="n">
        <x:f>D6*'Site Inputs'!C2</x:f>
        <x:v>900000</x:v>
      </x:c>
      <x:c r="F6" s="12" t="n">
        <x:f>'Scale Inputs'!C3*'Site Inputs'!H2</x:f>
        <x:v>1350000</x:v>
      </x:c>
      <x:c r="G6" s="12" t="n">
        <x:f>E6+F6</x:f>
        <x:v>2250000</x:v>
      </x:c>
      <x:c r="H6" s="12" t="n">
        <x:f>B6*0.8*8760*'Site Inputs'!E2*'Site Inputs'!D2</x:f>
        <x:v>47304.00000000001</x:v>
      </x:c>
      <x:c r="I6" s="12" t="n">
        <x:f>'Scale Inputs'!D3*'Site Inputs'!F2*2080*1.4</x:f>
        <x:v>136543.68</x:v>
      </x:c>
      <x:c r="J6" s="12" t="n">
        <x:f>'Scale Inputs'!E3*'Site Inputs'!G2*2080*1.4</x:f>
        <x:v>33949.551999999996</x:v>
      </x:c>
      <x:c r="K6" s="12" t="n">
        <x:f>F6*2.5%</x:f>
        <x:v>33750</x:v>
      </x:c>
      <x:c r="L6" s="12" t="n">
        <x:f>E6*'Site Inputs'!I2</x:f>
        <x:v>11700</x:v>
      </x:c>
      <x:c r="M6" s="12" t="n">
        <x:f>'Scale Inputs'!F3</x:f>
        <x:v>42000</x:v>
      </x:c>
      <x:c r="N6" s="12" t="n">
        <x:f>SUM(H6:M6)</x:f>
        <x:v>305247.23199999996</x:v>
      </x:c>
      <x:c r="O6" s="12" t="n">
        <x:f>E6*70%+F6*20%</x:f>
        <x:v>900000</x:v>
      </x:c>
      <x:c r="P6" s="12" t="n">
        <x:f>G6+N6*C6-O6</x:f>
        <x:v>4402472.319999999</x:v>
      </x:c>
      <x:c r="Q6" s="12" t="n">
        <x:f>B6*'Scale Inputs'!G3*12+'Scale Inputs'!H3</x:f>
        <x:v>246000</x:v>
      </x:c>
      <x:c r="R6" s="12" t="n">
        <x:f>Q6*C6</x:f>
        <x:v>2460000</x:v>
      </x:c>
      <x:c r="S6" s="12" t="n">
        <x:f>P6-R6</x:f>
        <x:v>1942472.3199999994</x:v>
      </x:c>
      <x:c r="T6" s="8" t="str">
        <x:f>IF(Q6&lt;=N6,"N/M",(G6-O6)/(Q6-N6))</x:f>
        <x:v>N/M</x:v>
      </x:c>
      <x:c r="U6" s="8"/>
      <x:c r="V6" s="8"/>
      <x:c r="W6" s="8"/>
      <x:c r="X6" s="8"/>
      <x:c r="Y6" s="8"/>
      <x:c r="Z6" s="8"/>
    </x:row>
    <x:row r="7" ht="15" hidden="0" customHeight="1">
      <x:c r="A7" s="8" t="str">
        <x:f>'Site Inputs'!A2</x:f>
        <x:v>Reno / Storey County</x:v>
      </x:c>
      <x:c r="B7" s="8" t="n">
        <x:f>'Scale Inputs'!A3</x:f>
        <x:v>50</x:v>
      </x:c>
      <x:c r="C7" s="8" t="n">
        <x:v>15</x:v>
      </x:c>
      <x:c r="D7" s="8" t="n">
        <x:f>'Scale Inputs'!B3</x:f>
        <x:v>5000</x:v>
      </x:c>
      <x:c r="E7" s="12" t="n">
        <x:f>D7*'Site Inputs'!C2</x:f>
        <x:v>900000</x:v>
      </x:c>
      <x:c r="F7" s="12" t="n">
        <x:f>'Scale Inputs'!C3*'Site Inputs'!H2</x:f>
        <x:v>1350000</x:v>
      </x:c>
      <x:c r="G7" s="12" t="n">
        <x:f>E7+F7</x:f>
        <x:v>2250000</x:v>
      </x:c>
      <x:c r="H7" s="12" t="n">
        <x:f>B7*0.8*8760*'Site Inputs'!E2*'Site Inputs'!D2</x:f>
        <x:v>47304.00000000001</x:v>
      </x:c>
      <x:c r="I7" s="12" t="n">
        <x:f>'Scale Inputs'!D3*'Site Inputs'!F2*2080*1.4</x:f>
        <x:v>136543.68</x:v>
      </x:c>
      <x:c r="J7" s="12" t="n">
        <x:f>'Scale Inputs'!E3*'Site Inputs'!G2*2080*1.4</x:f>
        <x:v>33949.551999999996</x:v>
      </x:c>
      <x:c r="K7" s="12" t="n">
        <x:f>F7*2.5%</x:f>
        <x:v>33750</x:v>
      </x:c>
      <x:c r="L7" s="12" t="n">
        <x:f>E7*'Site Inputs'!I2</x:f>
        <x:v>11700</x:v>
      </x:c>
      <x:c r="M7" s="12" t="n">
        <x:f>'Scale Inputs'!F3</x:f>
        <x:v>42000</x:v>
      </x:c>
      <x:c r="N7" s="12" t="n">
        <x:f>SUM(H7:M7)</x:f>
        <x:v>305247.23199999996</x:v>
      </x:c>
      <x:c r="O7" s="12" t="n">
        <x:f>E7*70%+F7*20%</x:f>
        <x:v>900000</x:v>
      </x:c>
      <x:c r="P7" s="12" t="n">
        <x:f>G7+N7*C7-O7</x:f>
        <x:v>5928708.4799999995</x:v>
      </x:c>
      <x:c r="Q7" s="12" t="n">
        <x:f>B7*'Scale Inputs'!G3*12+'Scale Inputs'!H3</x:f>
        <x:v>246000</x:v>
      </x:c>
      <x:c r="R7" s="12" t="n">
        <x:f>Q7*C7</x:f>
        <x:v>3690000</x:v>
      </x:c>
      <x:c r="S7" s="12" t="n">
        <x:f>P7-R7</x:f>
        <x:v>2238708.4799999995</x:v>
      </x:c>
      <x:c r="T7" s="8" t="str">
        <x:f>IF(Q7&lt;=N7,"N/M",(G7-O7)/(Q7-N7))</x:f>
        <x:v>N/M</x:v>
      </x:c>
      <x:c r="U7" s="8"/>
      <x:c r="V7" s="8"/>
      <x:c r="W7" s="8"/>
      <x:c r="X7" s="8"/>
      <x:c r="Y7" s="8"/>
      <x:c r="Z7" s="8"/>
    </x:row>
    <x:row r="8" ht="15" hidden="0" customHeight="1">
      <x:c r="A8" s="8" t="str">
        <x:f>'Site Inputs'!A2</x:f>
        <x:v>Reno / Storey County</x:v>
      </x:c>
      <x:c r="B8" s="8" t="n">
        <x:f>'Scale Inputs'!A4</x:f>
        <x:v>100</x:v>
      </x:c>
      <x:c r="C8" s="8" t="n">
        <x:v>5</x:v>
      </x:c>
      <x:c r="D8" s="8" t="n">
        <x:f>'Scale Inputs'!B4</x:f>
        <x:v>6000</x:v>
      </x:c>
      <x:c r="E8" s="12" t="n">
        <x:f>D8*'Site Inputs'!C2</x:f>
        <x:v>1080000</x:v>
      </x:c>
      <x:c r="F8" s="12" t="n">
        <x:f>'Scale Inputs'!C4*'Site Inputs'!H2</x:f>
        <x:v>1800000</x:v>
      </x:c>
      <x:c r="G8" s="12" t="n">
        <x:f>E8+F8</x:f>
        <x:v>2880000</x:v>
      </x:c>
      <x:c r="H8" s="12" t="n">
        <x:f>B8*0.8*8760*'Site Inputs'!E2*'Site Inputs'!D2</x:f>
        <x:v>94608.00000000001</x:v>
      </x:c>
      <x:c r="I8" s="12" t="n">
        <x:f>'Scale Inputs'!D4*'Site Inputs'!F2*2080*1.4</x:f>
        <x:v>182058.24</x:v>
      </x:c>
      <x:c r="J8" s="12" t="n">
        <x:f>'Scale Inputs'!E4*'Site Inputs'!G2*2080*1.4</x:f>
        <x:v>48499.36</x:v>
      </x:c>
      <x:c r="K8" s="12" t="n">
        <x:f>F8*2.5%</x:f>
        <x:v>45000</x:v>
      </x:c>
      <x:c r="L8" s="12" t="n">
        <x:f>E8*'Site Inputs'!I2</x:f>
        <x:v>14040</x:v>
      </x:c>
      <x:c r="M8" s="12" t="n">
        <x:f>'Scale Inputs'!F4</x:f>
        <x:v>54000</x:v>
      </x:c>
      <x:c r="N8" s="12" t="n">
        <x:f>SUM(H8:M8)</x:f>
        <x:v>438205.6</x:v>
      </x:c>
      <x:c r="O8" s="12" t="n">
        <x:f>E8*70%+F8*20%</x:f>
        <x:v>1116000</x:v>
      </x:c>
      <x:c r="P8" s="12" t="n">
        <x:f>G8+N8*C8-O8</x:f>
        <x:v>3955028</x:v>
      </x:c>
      <x:c r="Q8" s="12" t="n">
        <x:f>B8*'Scale Inputs'!G4*12+'Scale Inputs'!H4</x:f>
        <x:v>474000</x:v>
      </x:c>
      <x:c r="R8" s="12" t="n">
        <x:f>Q8*C8</x:f>
        <x:v>2370000</x:v>
      </x:c>
      <x:c r="S8" s="12" t="n">
        <x:f>P8-R8</x:f>
        <x:v>1585028</x:v>
      </x:c>
      <x:c r="T8" s="8" t="n">
        <x:f>IF(Q8&lt;=N8,"N/M",(G8-O8)/(Q8-N8))</x:f>
        <x:v>49.28145184721629</x:v>
      </x:c>
      <x:c r="U8" s="8"/>
      <x:c r="V8" s="8"/>
      <x:c r="W8" s="8"/>
      <x:c r="X8" s="8"/>
      <x:c r="Y8" s="8"/>
      <x:c r="Z8" s="8"/>
    </x:row>
    <x:row r="9" ht="15" hidden="0" customHeight="1">
      <x:c r="A9" s="8" t="str">
        <x:f>'Site Inputs'!A2</x:f>
        <x:v>Reno / Storey County</x:v>
      </x:c>
      <x:c r="B9" s="8" t="n">
        <x:f>'Scale Inputs'!A4</x:f>
        <x:v>100</x:v>
      </x:c>
      <x:c r="C9" s="8" t="n">
        <x:v>10</x:v>
      </x:c>
      <x:c r="D9" s="8" t="n">
        <x:f>'Scale Inputs'!B4</x:f>
        <x:v>6000</x:v>
      </x:c>
      <x:c r="E9" s="12" t="n">
        <x:f>D9*'Site Inputs'!C2</x:f>
        <x:v>1080000</x:v>
      </x:c>
      <x:c r="F9" s="12" t="n">
        <x:f>'Scale Inputs'!C4*'Site Inputs'!H2</x:f>
        <x:v>1800000</x:v>
      </x:c>
      <x:c r="G9" s="12" t="n">
        <x:f>E9+F9</x:f>
        <x:v>2880000</x:v>
      </x:c>
      <x:c r="H9" s="12" t="n">
        <x:f>B9*0.8*8760*'Site Inputs'!E2*'Site Inputs'!D2</x:f>
        <x:v>94608.00000000001</x:v>
      </x:c>
      <x:c r="I9" s="12" t="n">
        <x:f>'Scale Inputs'!D4*'Site Inputs'!F2*2080*1.4</x:f>
        <x:v>182058.24</x:v>
      </x:c>
      <x:c r="J9" s="12" t="n">
        <x:f>'Scale Inputs'!E4*'Site Inputs'!G2*2080*1.4</x:f>
        <x:v>48499.36</x:v>
      </x:c>
      <x:c r="K9" s="12" t="n">
        <x:f>F9*2.5%</x:f>
        <x:v>45000</x:v>
      </x:c>
      <x:c r="L9" s="12" t="n">
        <x:f>E9*'Site Inputs'!I2</x:f>
        <x:v>14040</x:v>
      </x:c>
      <x:c r="M9" s="12" t="n">
        <x:f>'Scale Inputs'!F4</x:f>
        <x:v>54000</x:v>
      </x:c>
      <x:c r="N9" s="12" t="n">
        <x:f>SUM(H9:M9)</x:f>
        <x:v>438205.6</x:v>
      </x:c>
      <x:c r="O9" s="12" t="n">
        <x:f>E9*70%+F9*20%</x:f>
        <x:v>1116000</x:v>
      </x:c>
      <x:c r="P9" s="12" t="n">
        <x:f>G9+N9*C9-O9</x:f>
        <x:v>6146056</x:v>
      </x:c>
      <x:c r="Q9" s="12" t="n">
        <x:f>B9*'Scale Inputs'!G4*12+'Scale Inputs'!H4</x:f>
        <x:v>474000</x:v>
      </x:c>
      <x:c r="R9" s="12" t="n">
        <x:f>Q9*C9</x:f>
        <x:v>4740000</x:v>
      </x:c>
      <x:c r="S9" s="12" t="n">
        <x:f>P9-R9</x:f>
        <x:v>1406056</x:v>
      </x:c>
      <x:c r="T9" s="8" t="n">
        <x:f>IF(Q9&lt;=N9,"N/M",(G9-O9)/(Q9-N9))</x:f>
        <x:v>49.28145184721629</x:v>
      </x:c>
      <x:c r="U9" s="8"/>
      <x:c r="V9" s="8"/>
      <x:c r="W9" s="8"/>
      <x:c r="X9" s="8"/>
      <x:c r="Y9" s="8"/>
      <x:c r="Z9" s="8"/>
    </x:row>
    <x:row r="10" ht="15" hidden="0" customHeight="1">
      <x:c r="A10" s="8" t="str">
        <x:f>'Site Inputs'!A2</x:f>
        <x:v>Reno / Storey County</x:v>
      </x:c>
      <x:c r="B10" s="8" t="n">
        <x:f>'Scale Inputs'!A4</x:f>
        <x:v>100</x:v>
      </x:c>
      <x:c r="C10" s="8" t="n">
        <x:v>15</x:v>
      </x:c>
      <x:c r="D10" s="8" t="n">
        <x:f>'Scale Inputs'!B4</x:f>
        <x:v>6000</x:v>
      </x:c>
      <x:c r="E10" s="12" t="n">
        <x:f>D10*'Site Inputs'!C2</x:f>
        <x:v>1080000</x:v>
      </x:c>
      <x:c r="F10" s="12" t="n">
        <x:f>'Scale Inputs'!C4*'Site Inputs'!H2</x:f>
        <x:v>1800000</x:v>
      </x:c>
      <x:c r="G10" s="12" t="n">
        <x:f>E10+F10</x:f>
        <x:v>2880000</x:v>
      </x:c>
      <x:c r="H10" s="12" t="n">
        <x:f>B10*0.8*8760*'Site Inputs'!E2*'Site Inputs'!D2</x:f>
        <x:v>94608.00000000001</x:v>
      </x:c>
      <x:c r="I10" s="12" t="n">
        <x:f>'Scale Inputs'!D4*'Site Inputs'!F2*2080*1.4</x:f>
        <x:v>182058.24</x:v>
      </x:c>
      <x:c r="J10" s="12" t="n">
        <x:f>'Scale Inputs'!E4*'Site Inputs'!G2*2080*1.4</x:f>
        <x:v>48499.36</x:v>
      </x:c>
      <x:c r="K10" s="12" t="n">
        <x:f>F10*2.5%</x:f>
        <x:v>45000</x:v>
      </x:c>
      <x:c r="L10" s="12" t="n">
        <x:f>E10*'Site Inputs'!I2</x:f>
        <x:v>14040</x:v>
      </x:c>
      <x:c r="M10" s="12" t="n">
        <x:f>'Scale Inputs'!F4</x:f>
        <x:v>54000</x:v>
      </x:c>
      <x:c r="N10" s="12" t="n">
        <x:f>SUM(H10:M10)</x:f>
        <x:v>438205.6</x:v>
      </x:c>
      <x:c r="O10" s="12" t="n">
        <x:f>E10*70%+F10*20%</x:f>
        <x:v>1116000</x:v>
      </x:c>
      <x:c r="P10" s="12" t="n">
        <x:f>G10+N10*C10-O10</x:f>
        <x:v>8337084</x:v>
      </x:c>
      <x:c r="Q10" s="12" t="n">
        <x:f>B10*'Scale Inputs'!G4*12+'Scale Inputs'!H4</x:f>
        <x:v>474000</x:v>
      </x:c>
      <x:c r="R10" s="12" t="n">
        <x:f>Q10*C10</x:f>
        <x:v>7110000</x:v>
      </x:c>
      <x:c r="S10" s="12" t="n">
        <x:f>P10-R10</x:f>
        <x:v>1227084</x:v>
      </x:c>
      <x:c r="T10" s="8" t="n">
        <x:f>IF(Q10&lt;=N10,"N/M",(G10-O10)/(Q10-N10))</x:f>
        <x:v>49.28145184721629</x:v>
      </x:c>
      <x:c r="U10" s="8"/>
      <x:c r="V10" s="8"/>
      <x:c r="W10" s="8"/>
      <x:c r="X10" s="8"/>
      <x:c r="Y10" s="8"/>
      <x:c r="Z10" s="8"/>
    </x:row>
    <x:row r="11" ht="15" hidden="0" customHeight="1">
      <x:c r="A11" s="8" t="str">
        <x:f>'Site Inputs'!A2</x:f>
        <x:v>Reno / Storey County</x:v>
      </x:c>
      <x:c r="B11" s="8" t="n">
        <x:f>'Scale Inputs'!A5</x:f>
        <x:v>250</x:v>
      </x:c>
      <x:c r="C11" s="8" t="n">
        <x:v>5</x:v>
      </x:c>
      <x:c r="D11" s="8" t="n">
        <x:f>'Scale Inputs'!B5</x:f>
        <x:v>9000</x:v>
      </x:c>
      <x:c r="E11" s="12" t="n">
        <x:f>D11*'Site Inputs'!C2</x:f>
        <x:v>1620000</x:v>
      </x:c>
      <x:c r="F11" s="12" t="n">
        <x:f>'Scale Inputs'!C5*'Site Inputs'!H2</x:f>
        <x:v>3000000</x:v>
      </x:c>
      <x:c r="G11" s="12" t="n">
        <x:f>E11+F11</x:f>
        <x:v>4620000</x:v>
      </x:c>
      <x:c r="H11" s="12" t="n">
        <x:f>B11*0.8*8760*'Site Inputs'!E2*'Site Inputs'!D2</x:f>
        <x:v>236520</x:v>
      </x:c>
      <x:c r="I11" s="12" t="n">
        <x:f>'Scale Inputs'!D5*'Site Inputs'!F2*2080*1.4</x:f>
        <x:v>273087.36</x:v>
      </x:c>
      <x:c r="J11" s="12" t="n">
        <x:f>'Scale Inputs'!E5*'Site Inputs'!G2*2080*1.4</x:f>
        <x:v>72749.04000000001</x:v>
      </x:c>
      <x:c r="K11" s="12" t="n">
        <x:f>F11*2.5%</x:f>
        <x:v>75000</x:v>
      </x:c>
      <x:c r="L11" s="12" t="n">
        <x:f>E11*'Site Inputs'!I2</x:f>
        <x:v>21060</x:v>
      </x:c>
      <x:c r="M11" s="12" t="n">
        <x:f>'Scale Inputs'!F5</x:f>
        <x:v>72000</x:v>
      </x:c>
      <x:c r="N11" s="12" t="n">
        <x:f>SUM(H11:M11)</x:f>
        <x:v>750416.4</x:v>
      </x:c>
      <x:c r="O11" s="12" t="n">
        <x:f>E11*70%+F11*20%</x:f>
        <x:v>1734000</x:v>
      </x:c>
      <x:c r="P11" s="12" t="n">
        <x:f>G11+N11*C11-O11</x:f>
        <x:v>6638082</x:v>
      </x:c>
      <x:c r="Q11" s="12" t="n">
        <x:f>B11*'Scale Inputs'!G5*12+'Scale Inputs'!H5</x:f>
        <x:v>1122000</x:v>
      </x:c>
      <x:c r="R11" s="12" t="n">
        <x:f>Q11*C11</x:f>
        <x:v>5610000</x:v>
      </x:c>
      <x:c r="S11" s="12" t="n">
        <x:f>P11-R11</x:f>
        <x:v>1028082</x:v>
      </x:c>
      <x:c r="T11" s="8" t="n">
        <x:f>IF(Q11&lt;=N11,"N/M",(G11-O11)/(Q11-N11))</x:f>
        <x:v>7.766758274584777</x:v>
      </x:c>
      <x:c r="U11" s="8"/>
      <x:c r="V11" s="8"/>
      <x:c r="W11" s="8"/>
      <x:c r="X11" s="8"/>
      <x:c r="Y11" s="8"/>
      <x:c r="Z11" s="8"/>
    </x:row>
    <x:row r="12" ht="15" hidden="0" customHeight="1">
      <x:c r="A12" s="8" t="str">
        <x:f>'Site Inputs'!A2</x:f>
        <x:v>Reno / Storey County</x:v>
      </x:c>
      <x:c r="B12" s="8" t="n">
        <x:f>'Scale Inputs'!A5</x:f>
        <x:v>250</x:v>
      </x:c>
      <x:c r="C12" s="8" t="n">
        <x:v>10</x:v>
      </x:c>
      <x:c r="D12" s="8" t="n">
        <x:f>'Scale Inputs'!B5</x:f>
        <x:v>9000</x:v>
      </x:c>
      <x:c r="E12" s="12" t="n">
        <x:f>D12*'Site Inputs'!C2</x:f>
        <x:v>1620000</x:v>
      </x:c>
      <x:c r="F12" s="12" t="n">
        <x:f>'Scale Inputs'!C5*'Site Inputs'!H2</x:f>
        <x:v>3000000</x:v>
      </x:c>
      <x:c r="G12" s="12" t="n">
        <x:f>E12+F12</x:f>
        <x:v>4620000</x:v>
      </x:c>
      <x:c r="H12" s="12" t="n">
        <x:f>B12*0.8*8760*'Site Inputs'!E2*'Site Inputs'!D2</x:f>
        <x:v>236520</x:v>
      </x:c>
      <x:c r="I12" s="12" t="n">
        <x:f>'Scale Inputs'!D5*'Site Inputs'!F2*2080*1.4</x:f>
        <x:v>273087.36</x:v>
      </x:c>
      <x:c r="J12" s="12" t="n">
        <x:f>'Scale Inputs'!E5*'Site Inputs'!G2*2080*1.4</x:f>
        <x:v>72749.04000000001</x:v>
      </x:c>
      <x:c r="K12" s="12" t="n">
        <x:f>F12*2.5%</x:f>
        <x:v>75000</x:v>
      </x:c>
      <x:c r="L12" s="12" t="n">
        <x:f>E12*'Site Inputs'!I2</x:f>
        <x:v>21060</x:v>
      </x:c>
      <x:c r="M12" s="12" t="n">
        <x:f>'Scale Inputs'!F5</x:f>
        <x:v>72000</x:v>
      </x:c>
      <x:c r="N12" s="12" t="n">
        <x:f>SUM(H12:M12)</x:f>
        <x:v>750416.4</x:v>
      </x:c>
      <x:c r="O12" s="12" t="n">
        <x:f>E12*70%+F12*20%</x:f>
        <x:v>1734000</x:v>
      </x:c>
      <x:c r="P12" s="12" t="n">
        <x:f>G12+N12*C12-O12</x:f>
        <x:v>10390164</x:v>
      </x:c>
      <x:c r="Q12" s="12" t="n">
        <x:f>B12*'Scale Inputs'!G5*12+'Scale Inputs'!H5</x:f>
        <x:v>1122000</x:v>
      </x:c>
      <x:c r="R12" s="12" t="n">
        <x:f>Q12*C12</x:f>
        <x:v>11220000</x:v>
      </x:c>
      <x:c r="S12" s="12" t="n">
        <x:f>P12-R12</x:f>
        <x:v>-829836</x:v>
      </x:c>
      <x:c r="T12" s="8" t="n">
        <x:f>IF(Q12&lt;=N12,"N/M",(G12-O12)/(Q12-N12))</x:f>
        <x:v>7.766758274584777</x:v>
      </x:c>
      <x:c r="U12" s="8"/>
      <x:c r="V12" s="8"/>
      <x:c r="W12" s="8"/>
      <x:c r="X12" s="8"/>
      <x:c r="Y12" s="8"/>
      <x:c r="Z12" s="8"/>
    </x:row>
    <x:row r="13" ht="15" hidden="0" customHeight="1">
      <x:c r="A13" s="8" t="str">
        <x:f>'Site Inputs'!A2</x:f>
        <x:v>Reno / Storey County</x:v>
      </x:c>
      <x:c r="B13" s="8" t="n">
        <x:f>'Scale Inputs'!A5</x:f>
        <x:v>250</x:v>
      </x:c>
      <x:c r="C13" s="8" t="n">
        <x:v>15</x:v>
      </x:c>
      <x:c r="D13" s="8" t="n">
        <x:f>'Scale Inputs'!B5</x:f>
        <x:v>9000</x:v>
      </x:c>
      <x:c r="E13" s="12" t="n">
        <x:f>D13*'Site Inputs'!C2</x:f>
        <x:v>1620000</x:v>
      </x:c>
      <x:c r="F13" s="12" t="n">
        <x:f>'Scale Inputs'!C5*'Site Inputs'!H2</x:f>
        <x:v>3000000</x:v>
      </x:c>
      <x:c r="G13" s="12" t="n">
        <x:f>E13+F13</x:f>
        <x:v>4620000</x:v>
      </x:c>
      <x:c r="H13" s="12" t="n">
        <x:f>B13*0.8*8760*'Site Inputs'!E2*'Site Inputs'!D2</x:f>
        <x:v>236520</x:v>
      </x:c>
      <x:c r="I13" s="12" t="n">
        <x:f>'Scale Inputs'!D5*'Site Inputs'!F2*2080*1.4</x:f>
        <x:v>273087.36</x:v>
      </x:c>
      <x:c r="J13" s="12" t="n">
        <x:f>'Scale Inputs'!E5*'Site Inputs'!G2*2080*1.4</x:f>
        <x:v>72749.04000000001</x:v>
      </x:c>
      <x:c r="K13" s="12" t="n">
        <x:f>F13*2.5%</x:f>
        <x:v>75000</x:v>
      </x:c>
      <x:c r="L13" s="12" t="n">
        <x:f>E13*'Site Inputs'!I2</x:f>
        <x:v>21060</x:v>
      </x:c>
      <x:c r="M13" s="12" t="n">
        <x:f>'Scale Inputs'!F5</x:f>
        <x:v>72000</x:v>
      </x:c>
      <x:c r="N13" s="12" t="n">
        <x:f>SUM(H13:M13)</x:f>
        <x:v>750416.4</x:v>
      </x:c>
      <x:c r="O13" s="12" t="n">
        <x:f>E13*70%+F13*20%</x:f>
        <x:v>1734000</x:v>
      </x:c>
      <x:c r="P13" s="12" t="n">
        <x:f>G13+N13*C13-O13</x:f>
        <x:v>14142246</x:v>
      </x:c>
      <x:c r="Q13" s="12" t="n">
        <x:f>B13*'Scale Inputs'!G5*12+'Scale Inputs'!H5</x:f>
        <x:v>1122000</x:v>
      </x:c>
      <x:c r="R13" s="12" t="n">
        <x:f>Q13*C13</x:f>
        <x:v>16830000</x:v>
      </x:c>
      <x:c r="S13" s="12" t="n">
        <x:f>P13-R13</x:f>
        <x:v>-2687754</x:v>
      </x:c>
      <x:c r="T13" s="8" t="n">
        <x:f>IF(Q13&lt;=N13,"N/M",(G13-O13)/(Q13-N13))</x:f>
        <x:v>7.766758274584777</x:v>
      </x:c>
      <x:c r="U13" s="8"/>
      <x:c r="V13" s="8"/>
      <x:c r="W13" s="8"/>
      <x:c r="X13" s="8"/>
      <x:c r="Y13" s="8"/>
      <x:c r="Z13" s="8"/>
    </x:row>
    <x:row r="14" ht="15" hidden="0" customHeight="1">
      <x:c r="A14" s="8" t="str">
        <x:f>'Site Inputs'!A3</x:f>
        <x:v>Sacramento</x:v>
      </x:c>
      <x:c r="B14" s="8" t="n">
        <x:f>'Scale Inputs'!A2</x:f>
        <x:v>25</x:v>
      </x:c>
      <x:c r="C14" s="8" t="n">
        <x:v>5</x:v>
      </x:c>
      <x:c r="D14" s="8" t="n">
        <x:f>'Scale Inputs'!B2</x:f>
        <x:v>4000</x:v>
      </x:c>
      <x:c r="E14" s="12" t="n">
        <x:f>D14*'Site Inputs'!C3</x:f>
        <x:v>600000</x:v>
      </x:c>
      <x:c r="F14" s="12" t="n">
        <x:f>'Scale Inputs'!C2*'Site Inputs'!H3</x:f>
        <x:v>1265000</x:v>
      </x:c>
      <x:c r="G14" s="12" t="n">
        <x:f>E14+F14</x:f>
        <x:v>1865000</x:v>
      </x:c>
      <x:c r="H14" s="12" t="n">
        <x:f>B14*0.8*8760*'Site Inputs'!E3*'Site Inputs'!D3</x:f>
        <x:v>34339.2</x:v>
      </x:c>
      <x:c r="I14" s="12" t="n">
        <x:f>'Scale Inputs'!D2*'Site Inputs'!F3*2080*1.4</x:f>
        <x:v>122267.6</x:v>
      </x:c>
      <x:c r="J14" s="12" t="n">
        <x:f>'Scale Inputs'!E2*'Site Inputs'!G3*2080*1.4</x:f>
        <x:v>26542.88</x:v>
      </x:c>
      <x:c r="K14" s="12" t="n">
        <x:f>F14*2.5%</x:f>
        <x:v>31625</x:v>
      </x:c>
      <x:c r="L14" s="12" t="n">
        <x:f>E14*'Site Inputs'!I3</x:f>
        <x:v>9600</x:v>
      </x:c>
      <x:c r="M14" s="12" t="n">
        <x:f>'Scale Inputs'!F2</x:f>
        <x:v>36000</x:v>
      </x:c>
      <x:c r="N14" s="12" t="n">
        <x:f>SUM(H14:M14)</x:f>
        <x:v>260374.68</x:v>
      </x:c>
      <x:c r="O14" s="12" t="n">
        <x:f>E14*70%+F14*20%</x:f>
        <x:v>673000</x:v>
      </x:c>
      <x:c r="P14" s="12" t="n">
        <x:f>G14+N14*C14-O14</x:f>
        <x:v>2493873.4</x:v>
      </x:c>
      <x:c r="Q14" s="12" t="n">
        <x:f>B14*'Scale Inputs'!G2*12+'Scale Inputs'!H2</x:f>
        <x:v>141000</x:v>
      </x:c>
      <x:c r="R14" s="12" t="n">
        <x:f>Q14*C14</x:f>
        <x:v>705000</x:v>
      </x:c>
      <x:c r="S14" s="12" t="n">
        <x:f>P14-R14</x:f>
        <x:v>1788873.4</x:v>
      </x:c>
      <x:c r="T14" s="8" t="str">
        <x:f>IF(Q14&lt;=N14,"N/M",(G14-O14)/(Q14-N14))</x:f>
        <x:v>N/M</x:v>
      </x:c>
      <x:c r="U14" s="8"/>
      <x:c r="V14" s="8"/>
      <x:c r="W14" s="8"/>
      <x:c r="X14" s="8"/>
      <x:c r="Y14" s="8"/>
      <x:c r="Z14" s="8"/>
    </x:row>
    <x:row r="15" ht="15" hidden="0" customHeight="1">
      <x:c r="A15" s="8" t="str">
        <x:f>'Site Inputs'!A3</x:f>
        <x:v>Sacramento</x:v>
      </x:c>
      <x:c r="B15" s="8" t="n">
        <x:f>'Scale Inputs'!A2</x:f>
        <x:v>25</x:v>
      </x:c>
      <x:c r="C15" s="8" t="n">
        <x:v>10</x:v>
      </x:c>
      <x:c r="D15" s="8" t="n">
        <x:f>'Scale Inputs'!B2</x:f>
        <x:v>4000</x:v>
      </x:c>
      <x:c r="E15" s="12" t="n">
        <x:f>D15*'Site Inputs'!C3</x:f>
        <x:v>600000</x:v>
      </x:c>
      <x:c r="F15" s="12" t="n">
        <x:f>'Scale Inputs'!C2*'Site Inputs'!H3</x:f>
        <x:v>1265000</x:v>
      </x:c>
      <x:c r="G15" s="12" t="n">
        <x:f>E15+F15</x:f>
        <x:v>1865000</x:v>
      </x:c>
      <x:c r="H15" s="12" t="n">
        <x:f>B15*0.8*8760*'Site Inputs'!E3*'Site Inputs'!D3</x:f>
        <x:v>34339.2</x:v>
      </x:c>
      <x:c r="I15" s="12" t="n">
        <x:f>'Scale Inputs'!D2*'Site Inputs'!F3*2080*1.4</x:f>
        <x:v>122267.6</x:v>
      </x:c>
      <x:c r="J15" s="12" t="n">
        <x:f>'Scale Inputs'!E2*'Site Inputs'!G3*2080*1.4</x:f>
        <x:v>26542.88</x:v>
      </x:c>
      <x:c r="K15" s="12" t="n">
        <x:f>F15*2.5%</x:f>
        <x:v>31625</x:v>
      </x:c>
      <x:c r="L15" s="12" t="n">
        <x:f>E15*'Site Inputs'!I3</x:f>
        <x:v>9600</x:v>
      </x:c>
      <x:c r="M15" s="12" t="n">
        <x:f>'Scale Inputs'!F2</x:f>
        <x:v>36000</x:v>
      </x:c>
      <x:c r="N15" s="12" t="n">
        <x:f>SUM(H15:M15)</x:f>
        <x:v>260374.68</x:v>
      </x:c>
      <x:c r="O15" s="12" t="n">
        <x:f>E15*70%+F15*20%</x:f>
        <x:v>673000</x:v>
      </x:c>
      <x:c r="P15" s="12" t="n">
        <x:f>G15+N15*C15-O15</x:f>
        <x:v>3795746.8</x:v>
      </x:c>
      <x:c r="Q15" s="12" t="n">
        <x:f>B15*'Scale Inputs'!G2*12+'Scale Inputs'!H2</x:f>
        <x:v>141000</x:v>
      </x:c>
      <x:c r="R15" s="12" t="n">
        <x:f>Q15*C15</x:f>
        <x:v>1410000</x:v>
      </x:c>
      <x:c r="S15" s="12" t="n">
        <x:f>P15-R15</x:f>
        <x:v>2385746.8</x:v>
      </x:c>
      <x:c r="T15" s="8" t="str">
        <x:f>IF(Q15&lt;=N15,"N/M",(G15-O15)/(Q15-N15))</x:f>
        <x:v>N/M</x:v>
      </x:c>
      <x:c r="U15" s="8"/>
      <x:c r="V15" s="8"/>
      <x:c r="W15" s="8"/>
      <x:c r="X15" s="8"/>
      <x:c r="Y15" s="8"/>
      <x:c r="Z15" s="8"/>
    </x:row>
    <x:row r="16" ht="15" hidden="0" customHeight="1">
      <x:c r="A16" s="8" t="str">
        <x:f>'Site Inputs'!A3</x:f>
        <x:v>Sacramento</x:v>
      </x:c>
      <x:c r="B16" s="8" t="n">
        <x:f>'Scale Inputs'!A2</x:f>
        <x:v>25</x:v>
      </x:c>
      <x:c r="C16" s="8" t="n">
        <x:v>15</x:v>
      </x:c>
      <x:c r="D16" s="8" t="n">
        <x:f>'Scale Inputs'!B2</x:f>
        <x:v>4000</x:v>
      </x:c>
      <x:c r="E16" s="12" t="n">
        <x:f>D16*'Site Inputs'!C3</x:f>
        <x:v>600000</x:v>
      </x:c>
      <x:c r="F16" s="12" t="n">
        <x:f>'Scale Inputs'!C2*'Site Inputs'!H3</x:f>
        <x:v>1265000</x:v>
      </x:c>
      <x:c r="G16" s="12" t="n">
        <x:f>E16+F16</x:f>
        <x:v>1865000</x:v>
      </x:c>
      <x:c r="H16" s="12" t="n">
        <x:f>B16*0.8*8760*'Site Inputs'!E3*'Site Inputs'!D3</x:f>
        <x:v>34339.2</x:v>
      </x:c>
      <x:c r="I16" s="12" t="n">
        <x:f>'Scale Inputs'!D2*'Site Inputs'!F3*2080*1.4</x:f>
        <x:v>122267.6</x:v>
      </x:c>
      <x:c r="J16" s="12" t="n">
        <x:f>'Scale Inputs'!E2*'Site Inputs'!G3*2080*1.4</x:f>
        <x:v>26542.88</x:v>
      </x:c>
      <x:c r="K16" s="12" t="n">
        <x:f>F16*2.5%</x:f>
        <x:v>31625</x:v>
      </x:c>
      <x:c r="L16" s="12" t="n">
        <x:f>E16*'Site Inputs'!I3</x:f>
        <x:v>9600</x:v>
      </x:c>
      <x:c r="M16" s="12" t="n">
        <x:f>'Scale Inputs'!F2</x:f>
        <x:v>36000</x:v>
      </x:c>
      <x:c r="N16" s="12" t="n">
        <x:f>SUM(H16:M16)</x:f>
        <x:v>260374.68</x:v>
      </x:c>
      <x:c r="O16" s="12" t="n">
        <x:f>E16*70%+F16*20%</x:f>
        <x:v>673000</x:v>
      </x:c>
      <x:c r="P16" s="12" t="n">
        <x:f>G16+N16*C16-O16</x:f>
        <x:v>5097620.199999999</x:v>
      </x:c>
      <x:c r="Q16" s="12" t="n">
        <x:f>B16*'Scale Inputs'!G2*12+'Scale Inputs'!H2</x:f>
        <x:v>141000</x:v>
      </x:c>
      <x:c r="R16" s="12" t="n">
        <x:f>Q16*C16</x:f>
        <x:v>2115000</x:v>
      </x:c>
      <x:c r="S16" s="12" t="n">
        <x:f>P16-R16</x:f>
        <x:v>2982620.1999999993</x:v>
      </x:c>
      <x:c r="T16" s="8" t="str">
        <x:f>IF(Q16&lt;=N16,"N/M",(G16-O16)/(Q16-N16))</x:f>
        <x:v>N/M</x:v>
      </x:c>
      <x:c r="U16" s="8"/>
      <x:c r="V16" s="8"/>
      <x:c r="W16" s="8"/>
      <x:c r="X16" s="8"/>
      <x:c r="Y16" s="8"/>
      <x:c r="Z16" s="8"/>
    </x:row>
    <x:row r="17" ht="15" hidden="0" customHeight="1">
      <x:c r="A17" s="8" t="str">
        <x:f>'Site Inputs'!A3</x:f>
        <x:v>Sacramento</x:v>
      </x:c>
      <x:c r="B17" s="8" t="n">
        <x:f>'Scale Inputs'!A3</x:f>
        <x:v>50</x:v>
      </x:c>
      <x:c r="C17" s="8" t="n">
        <x:v>5</x:v>
      </x:c>
      <x:c r="D17" s="8" t="n">
        <x:f>'Scale Inputs'!B3</x:f>
        <x:v>5000</x:v>
      </x:c>
      <x:c r="E17" s="12" t="n">
        <x:f>D17*'Site Inputs'!C3</x:f>
        <x:v>750000</x:v>
      </x:c>
      <x:c r="F17" s="12" t="n">
        <x:f>'Scale Inputs'!C3*'Site Inputs'!H3</x:f>
        <x:v>1552499.9999999998</x:v>
      </x:c>
      <x:c r="G17" s="12" t="n">
        <x:f>E17+F17</x:f>
        <x:v>2302500</x:v>
      </x:c>
      <x:c r="H17" s="12" t="n">
        <x:f>B17*0.8*8760*'Site Inputs'!E3*'Site Inputs'!D3</x:f>
        <x:v>68678.4</x:v>
      </x:c>
      <x:c r="I17" s="12" t="n">
        <x:f>'Scale Inputs'!D3*'Site Inputs'!F3*2080*1.4</x:f>
        <x:v>146721.12000000002</x:v>
      </x:c>
      <x:c r="J17" s="12" t="n">
        <x:f>'Scale Inputs'!E3*'Site Inputs'!G3*2080*1.4</x:f>
        <x:v>37160.03199999999</x:v>
      </x:c>
      <x:c r="K17" s="12" t="n">
        <x:f>F17*2.5%</x:f>
        <x:v>38812.49999999999</x:v>
      </x:c>
      <x:c r="L17" s="12" t="n">
        <x:f>E17*'Site Inputs'!I3</x:f>
        <x:v>12000</x:v>
      </x:c>
      <x:c r="M17" s="12" t="n">
        <x:f>'Scale Inputs'!F3</x:f>
        <x:v>42000</x:v>
      </x:c>
      <x:c r="N17" s="12" t="n">
        <x:f>SUM(H17:M17)</x:f>
        <x:v>345372.052</x:v>
      </x:c>
      <x:c r="O17" s="12" t="n">
        <x:f>E17*70%+F17*20%</x:f>
        <x:v>835500</x:v>
      </x:c>
      <x:c r="P17" s="12" t="n">
        <x:f>G17+N17*C17-O17</x:f>
        <x:v>3193860.2600000002</x:v>
      </x:c>
      <x:c r="Q17" s="12" t="n">
        <x:f>B17*'Scale Inputs'!G3*12+'Scale Inputs'!H3</x:f>
        <x:v>246000</x:v>
      </x:c>
      <x:c r="R17" s="12" t="n">
        <x:f>Q17*C17</x:f>
        <x:v>1230000</x:v>
      </x:c>
      <x:c r="S17" s="12" t="n">
        <x:f>P17-R17</x:f>
        <x:v>1963860.2600000002</x:v>
      </x:c>
      <x:c r="T17" s="8" t="str">
        <x:f>IF(Q17&lt;=N17,"N/M",(G17-O17)/(Q17-N17))</x:f>
        <x:v>N/M</x:v>
      </x:c>
      <x:c r="U17" s="8"/>
      <x:c r="V17" s="8"/>
      <x:c r="W17" s="8"/>
      <x:c r="X17" s="8"/>
      <x:c r="Y17" s="8"/>
      <x:c r="Z17" s="8"/>
    </x:row>
    <x:row r="18" ht="15" hidden="0" customHeight="1">
      <x:c r="A18" s="8" t="str">
        <x:f>'Site Inputs'!A3</x:f>
        <x:v>Sacramento</x:v>
      </x:c>
      <x:c r="B18" s="8" t="n">
        <x:f>'Scale Inputs'!A3</x:f>
        <x:v>50</x:v>
      </x:c>
      <x:c r="C18" s="8" t="n">
        <x:v>10</x:v>
      </x:c>
      <x:c r="D18" s="8" t="n">
        <x:f>'Scale Inputs'!B3</x:f>
        <x:v>5000</x:v>
      </x:c>
      <x:c r="E18" s="12" t="n">
        <x:f>D18*'Site Inputs'!C3</x:f>
        <x:v>750000</x:v>
      </x:c>
      <x:c r="F18" s="12" t="n">
        <x:f>'Scale Inputs'!C3*'Site Inputs'!H3</x:f>
        <x:v>1552499.9999999998</x:v>
      </x:c>
      <x:c r="G18" s="12" t="n">
        <x:f>E18+F18</x:f>
        <x:v>2302500</x:v>
      </x:c>
      <x:c r="H18" s="12" t="n">
        <x:f>B18*0.8*8760*'Site Inputs'!E3*'Site Inputs'!D3</x:f>
        <x:v>68678.4</x:v>
      </x:c>
      <x:c r="I18" s="12" t="n">
        <x:f>'Scale Inputs'!D3*'Site Inputs'!F3*2080*1.4</x:f>
        <x:v>146721.12000000002</x:v>
      </x:c>
      <x:c r="J18" s="12" t="n">
        <x:f>'Scale Inputs'!E3*'Site Inputs'!G3*2080*1.4</x:f>
        <x:v>37160.03199999999</x:v>
      </x:c>
      <x:c r="K18" s="12" t="n">
        <x:f>F18*2.5%</x:f>
        <x:v>38812.49999999999</x:v>
      </x:c>
      <x:c r="L18" s="12" t="n">
        <x:f>E18*'Site Inputs'!I3</x:f>
        <x:v>12000</x:v>
      </x:c>
      <x:c r="M18" s="12" t="n">
        <x:f>'Scale Inputs'!F3</x:f>
        <x:v>42000</x:v>
      </x:c>
      <x:c r="N18" s="12" t="n">
        <x:f>SUM(H18:M18)</x:f>
        <x:v>345372.052</x:v>
      </x:c>
      <x:c r="O18" s="12" t="n">
        <x:f>E18*70%+F18*20%</x:f>
        <x:v>835500</x:v>
      </x:c>
      <x:c r="P18" s="12" t="n">
        <x:f>G18+N18*C18-O18</x:f>
        <x:v>4920720.5200000005</x:v>
      </x:c>
      <x:c r="Q18" s="12" t="n">
        <x:f>B18*'Scale Inputs'!G3*12+'Scale Inputs'!H3</x:f>
        <x:v>246000</x:v>
      </x:c>
      <x:c r="R18" s="12" t="n">
        <x:f>Q18*C18</x:f>
        <x:v>2460000</x:v>
      </x:c>
      <x:c r="S18" s="12" t="n">
        <x:f>P18-R18</x:f>
        <x:v>2460720.5200000005</x:v>
      </x:c>
      <x:c r="T18" s="8" t="str">
        <x:f>IF(Q18&lt;=N18,"N/M",(G18-O18)/(Q18-N18))</x:f>
        <x:v>N/M</x:v>
      </x:c>
      <x:c r="U18" s="8"/>
      <x:c r="V18" s="8"/>
      <x:c r="W18" s="8"/>
      <x:c r="X18" s="8"/>
      <x:c r="Y18" s="8"/>
      <x:c r="Z18" s="8"/>
    </x:row>
    <x:row r="19" ht="15" hidden="0" customHeight="1">
      <x:c r="A19" s="8" t="str">
        <x:f>'Site Inputs'!A3</x:f>
        <x:v>Sacramento</x:v>
      </x:c>
      <x:c r="B19" s="8" t="n">
        <x:f>'Scale Inputs'!A3</x:f>
        <x:v>50</x:v>
      </x:c>
      <x:c r="C19" s="8" t="n">
        <x:v>15</x:v>
      </x:c>
      <x:c r="D19" s="8" t="n">
        <x:f>'Scale Inputs'!B3</x:f>
        <x:v>5000</x:v>
      </x:c>
      <x:c r="E19" s="12" t="n">
        <x:f>D19*'Site Inputs'!C3</x:f>
        <x:v>750000</x:v>
      </x:c>
      <x:c r="F19" s="12" t="n">
        <x:f>'Scale Inputs'!C3*'Site Inputs'!H3</x:f>
        <x:v>1552499.9999999998</x:v>
      </x:c>
      <x:c r="G19" s="12" t="n">
        <x:f>E19+F19</x:f>
        <x:v>2302500</x:v>
      </x:c>
      <x:c r="H19" s="12" t="n">
        <x:f>B19*0.8*8760*'Site Inputs'!E3*'Site Inputs'!D3</x:f>
        <x:v>68678.4</x:v>
      </x:c>
      <x:c r="I19" s="12" t="n">
        <x:f>'Scale Inputs'!D3*'Site Inputs'!F3*2080*1.4</x:f>
        <x:v>146721.12000000002</x:v>
      </x:c>
      <x:c r="J19" s="12" t="n">
        <x:f>'Scale Inputs'!E3*'Site Inputs'!G3*2080*1.4</x:f>
        <x:v>37160.03199999999</x:v>
      </x:c>
      <x:c r="K19" s="12" t="n">
        <x:f>F19*2.5%</x:f>
        <x:v>38812.49999999999</x:v>
      </x:c>
      <x:c r="L19" s="12" t="n">
        <x:f>E19*'Site Inputs'!I3</x:f>
        <x:v>12000</x:v>
      </x:c>
      <x:c r="M19" s="12" t="n">
        <x:f>'Scale Inputs'!F3</x:f>
        <x:v>42000</x:v>
      </x:c>
      <x:c r="N19" s="12" t="n">
        <x:f>SUM(H19:M19)</x:f>
        <x:v>345372.052</x:v>
      </x:c>
      <x:c r="O19" s="12" t="n">
        <x:f>E19*70%+F19*20%</x:f>
        <x:v>835500</x:v>
      </x:c>
      <x:c r="P19" s="12" t="n">
        <x:f>G19+N19*C19-O19</x:f>
        <x:v>6647580.78</x:v>
      </x:c>
      <x:c r="Q19" s="12" t="n">
        <x:f>B19*'Scale Inputs'!G3*12+'Scale Inputs'!H3</x:f>
        <x:v>246000</x:v>
      </x:c>
      <x:c r="R19" s="12" t="n">
        <x:f>Q19*C19</x:f>
        <x:v>3690000</x:v>
      </x:c>
      <x:c r="S19" s="12" t="n">
        <x:f>P19-R19</x:f>
        <x:v>2957580.7800000003</x:v>
      </x:c>
      <x:c r="T19" s="8" t="str">
        <x:f>IF(Q19&lt;=N19,"N/M",(G19-O19)/(Q19-N19))</x:f>
        <x:v>N/M</x:v>
      </x:c>
      <x:c r="U19" s="8"/>
      <x:c r="V19" s="8"/>
      <x:c r="W19" s="8"/>
      <x:c r="X19" s="8"/>
      <x:c r="Y19" s="8"/>
      <x:c r="Z19" s="8"/>
    </x:row>
    <x:row r="20" ht="15" hidden="0" customHeight="1">
      <x:c r="A20" s="8" t="str">
        <x:f>'Site Inputs'!A3</x:f>
        <x:v>Sacramento</x:v>
      </x:c>
      <x:c r="B20" s="8" t="n">
        <x:f>'Scale Inputs'!A4</x:f>
        <x:v>100</x:v>
      </x:c>
      <x:c r="C20" s="8" t="n">
        <x:v>5</x:v>
      </x:c>
      <x:c r="D20" s="8" t="n">
        <x:f>'Scale Inputs'!B4</x:f>
        <x:v>6000</x:v>
      </x:c>
      <x:c r="E20" s="12" t="n">
        <x:f>D20*'Site Inputs'!C3</x:f>
        <x:v>900000</x:v>
      </x:c>
      <x:c r="F20" s="12" t="n">
        <x:f>'Scale Inputs'!C4*'Site Inputs'!H3</x:f>
        <x:v>2069999.9999999998</x:v>
      </x:c>
      <x:c r="G20" s="12" t="n">
        <x:f>E20+F20</x:f>
        <x:v>2970000</x:v>
      </x:c>
      <x:c r="H20" s="12" t="n">
        <x:f>B20*0.8*8760*'Site Inputs'!E3*'Site Inputs'!D3</x:f>
        <x:v>137356.8</x:v>
      </x:c>
      <x:c r="I20" s="12" t="n">
        <x:f>'Scale Inputs'!D4*'Site Inputs'!F3*2080*1.4</x:f>
        <x:v>195628.16000000003</x:v>
      </x:c>
      <x:c r="J20" s="12" t="n">
        <x:f>'Scale Inputs'!E4*'Site Inputs'!G3*2080*1.4</x:f>
        <x:v>53085.76</x:v>
      </x:c>
      <x:c r="K20" s="12" t="n">
        <x:f>F20*2.5%</x:f>
        <x:v>51750</x:v>
      </x:c>
      <x:c r="L20" s="12" t="n">
        <x:f>E20*'Site Inputs'!I3</x:f>
        <x:v>14400</x:v>
      </x:c>
      <x:c r="M20" s="12" t="n">
        <x:f>'Scale Inputs'!F4</x:f>
        <x:v>54000</x:v>
      </x:c>
      <x:c r="N20" s="12" t="n">
        <x:f>SUM(H20:M20)</x:f>
        <x:v>506220.72000000003</x:v>
      </x:c>
      <x:c r="O20" s="12" t="n">
        <x:f>E20*70%+F20*20%</x:f>
        <x:v>1044000</x:v>
      </x:c>
      <x:c r="P20" s="12" t="n">
        <x:f>G20+N20*C20-O20</x:f>
        <x:v>4457103.6</x:v>
      </x:c>
      <x:c r="Q20" s="12" t="n">
        <x:f>B20*'Scale Inputs'!G4*12+'Scale Inputs'!H4</x:f>
        <x:v>474000</x:v>
      </x:c>
      <x:c r="R20" s="12" t="n">
        <x:f>Q20*C20</x:f>
        <x:v>2370000</x:v>
      </x:c>
      <x:c r="S20" s="12" t="n">
        <x:f>P20-R20</x:f>
        <x:v>2087103.5999999996</x:v>
      </x:c>
      <x:c r="T20" s="8" t="str">
        <x:f>IF(Q20&lt;=N20,"N/M",(G20-O20)/(Q20-N20))</x:f>
        <x:v>N/M</x:v>
      </x:c>
      <x:c r="U20" s="8"/>
      <x:c r="V20" s="8"/>
      <x:c r="W20" s="8"/>
      <x:c r="X20" s="8"/>
      <x:c r="Y20" s="8"/>
      <x:c r="Z20" s="8"/>
    </x:row>
    <x:row r="21" ht="15" hidden="0" customHeight="1">
      <x:c r="A21" s="8" t="str">
        <x:f>'Site Inputs'!A3</x:f>
        <x:v>Sacramento</x:v>
      </x:c>
      <x:c r="B21" s="8" t="n">
        <x:f>'Scale Inputs'!A4</x:f>
        <x:v>100</x:v>
      </x:c>
      <x:c r="C21" s="8" t="n">
        <x:v>10</x:v>
      </x:c>
      <x:c r="D21" s="8" t="n">
        <x:f>'Scale Inputs'!B4</x:f>
        <x:v>6000</x:v>
      </x:c>
      <x:c r="E21" s="12" t="n">
        <x:f>D21*'Site Inputs'!C3</x:f>
        <x:v>900000</x:v>
      </x:c>
      <x:c r="F21" s="12" t="n">
        <x:f>'Scale Inputs'!C4*'Site Inputs'!H3</x:f>
        <x:v>2069999.9999999998</x:v>
      </x:c>
      <x:c r="G21" s="12" t="n">
        <x:f>E21+F21</x:f>
        <x:v>2970000</x:v>
      </x:c>
      <x:c r="H21" s="12" t="n">
        <x:f>B21*0.8*8760*'Site Inputs'!E3*'Site Inputs'!D3</x:f>
        <x:v>137356.8</x:v>
      </x:c>
      <x:c r="I21" s="12" t="n">
        <x:f>'Scale Inputs'!D4*'Site Inputs'!F3*2080*1.4</x:f>
        <x:v>195628.16000000003</x:v>
      </x:c>
      <x:c r="J21" s="12" t="n">
        <x:f>'Scale Inputs'!E4*'Site Inputs'!G3*2080*1.4</x:f>
        <x:v>53085.76</x:v>
      </x:c>
      <x:c r="K21" s="12" t="n">
        <x:f>F21*2.5%</x:f>
        <x:v>51750</x:v>
      </x:c>
      <x:c r="L21" s="12" t="n">
        <x:f>E21*'Site Inputs'!I3</x:f>
        <x:v>14400</x:v>
      </x:c>
      <x:c r="M21" s="12" t="n">
        <x:f>'Scale Inputs'!F4</x:f>
        <x:v>54000</x:v>
      </x:c>
      <x:c r="N21" s="12" t="n">
        <x:f>SUM(H21:M21)</x:f>
        <x:v>506220.72000000003</x:v>
      </x:c>
      <x:c r="O21" s="12" t="n">
        <x:f>E21*70%+F21*20%</x:f>
        <x:v>1044000</x:v>
      </x:c>
      <x:c r="P21" s="12" t="n">
        <x:f>G21+N21*C21-O21</x:f>
        <x:v>6988207.2</x:v>
      </x:c>
      <x:c r="Q21" s="12" t="n">
        <x:f>B21*'Scale Inputs'!G4*12+'Scale Inputs'!H4</x:f>
        <x:v>474000</x:v>
      </x:c>
      <x:c r="R21" s="12" t="n">
        <x:f>Q21*C21</x:f>
        <x:v>4740000</x:v>
      </x:c>
      <x:c r="S21" s="12" t="n">
        <x:f>P21-R21</x:f>
        <x:v>2248207.2</x:v>
      </x:c>
      <x:c r="T21" s="8" t="str">
        <x:f>IF(Q21&lt;=N21,"N/M",(G21-O21)/(Q21-N21))</x:f>
        <x:v>N/M</x:v>
      </x:c>
      <x:c r="U21" s="8"/>
      <x:c r="V21" s="8"/>
      <x:c r="W21" s="8"/>
      <x:c r="X21" s="8"/>
      <x:c r="Y21" s="8"/>
      <x:c r="Z21" s="8"/>
    </x:row>
    <x:row r="22" ht="15" hidden="0" customHeight="1">
      <x:c r="A22" s="8" t="str">
        <x:f>'Site Inputs'!A3</x:f>
        <x:v>Sacramento</x:v>
      </x:c>
      <x:c r="B22" s="8" t="n">
        <x:f>'Scale Inputs'!A4</x:f>
        <x:v>100</x:v>
      </x:c>
      <x:c r="C22" s="8" t="n">
        <x:v>15</x:v>
      </x:c>
      <x:c r="D22" s="8" t="n">
        <x:f>'Scale Inputs'!B4</x:f>
        <x:v>6000</x:v>
      </x:c>
      <x:c r="E22" s="12" t="n">
        <x:f>D22*'Site Inputs'!C3</x:f>
        <x:v>900000</x:v>
      </x:c>
      <x:c r="F22" s="12" t="n">
        <x:f>'Scale Inputs'!C4*'Site Inputs'!H3</x:f>
        <x:v>2069999.9999999998</x:v>
      </x:c>
      <x:c r="G22" s="12" t="n">
        <x:f>E22+F22</x:f>
        <x:v>2970000</x:v>
      </x:c>
      <x:c r="H22" s="12" t="n">
        <x:f>B22*0.8*8760*'Site Inputs'!E3*'Site Inputs'!D3</x:f>
        <x:v>137356.8</x:v>
      </x:c>
      <x:c r="I22" s="12" t="n">
        <x:f>'Scale Inputs'!D4*'Site Inputs'!F3*2080*1.4</x:f>
        <x:v>195628.16000000003</x:v>
      </x:c>
      <x:c r="J22" s="12" t="n">
        <x:f>'Scale Inputs'!E4*'Site Inputs'!G3*2080*1.4</x:f>
        <x:v>53085.76</x:v>
      </x:c>
      <x:c r="K22" s="12" t="n">
        <x:f>F22*2.5%</x:f>
        <x:v>51750</x:v>
      </x:c>
      <x:c r="L22" s="12" t="n">
        <x:f>E22*'Site Inputs'!I3</x:f>
        <x:v>14400</x:v>
      </x:c>
      <x:c r="M22" s="12" t="n">
        <x:f>'Scale Inputs'!F4</x:f>
        <x:v>54000</x:v>
      </x:c>
      <x:c r="N22" s="12" t="n">
        <x:f>SUM(H22:M22)</x:f>
        <x:v>506220.72000000003</x:v>
      </x:c>
      <x:c r="O22" s="12" t="n">
        <x:f>E22*70%+F22*20%</x:f>
        <x:v>1044000</x:v>
      </x:c>
      <x:c r="P22" s="12" t="n">
        <x:f>G22+N22*C22-O22</x:f>
        <x:v>9519310.8</x:v>
      </x:c>
      <x:c r="Q22" s="12" t="n">
        <x:f>B22*'Scale Inputs'!G4*12+'Scale Inputs'!H4</x:f>
        <x:v>474000</x:v>
      </x:c>
      <x:c r="R22" s="12" t="n">
        <x:f>Q22*C22</x:f>
        <x:v>7110000</x:v>
      </x:c>
      <x:c r="S22" s="12" t="n">
        <x:f>P22-R22</x:f>
        <x:v>2409310.8000000007</x:v>
      </x:c>
      <x:c r="T22" s="8" t="str">
        <x:f>IF(Q22&lt;=N22,"N/M",(G22-O22)/(Q22-N22))</x:f>
        <x:v>N/M</x:v>
      </x:c>
      <x:c r="U22" s="8"/>
      <x:c r="V22" s="8"/>
      <x:c r="W22" s="8"/>
      <x:c r="X22" s="8"/>
      <x:c r="Y22" s="8"/>
      <x:c r="Z22" s="8"/>
    </x:row>
    <x:row r="23" ht="15" hidden="0" customHeight="1">
      <x:c r="A23" s="8" t="str">
        <x:f>'Site Inputs'!A3</x:f>
        <x:v>Sacramento</x:v>
      </x:c>
      <x:c r="B23" s="8" t="n">
        <x:f>'Scale Inputs'!A5</x:f>
        <x:v>250</x:v>
      </x:c>
      <x:c r="C23" s="8" t="n">
        <x:v>5</x:v>
      </x:c>
      <x:c r="D23" s="8" t="n">
        <x:f>'Scale Inputs'!B5</x:f>
        <x:v>9000</x:v>
      </x:c>
      <x:c r="E23" s="12" t="n">
        <x:f>D23*'Site Inputs'!C3</x:f>
        <x:v>1350000</x:v>
      </x:c>
      <x:c r="F23" s="12" t="n">
        <x:f>'Scale Inputs'!C5*'Site Inputs'!H3</x:f>
        <x:v>3449999.9999999995</x:v>
      </x:c>
      <x:c r="G23" s="12" t="n">
        <x:f>E23+F23</x:f>
        <x:v>4800000</x:v>
      </x:c>
      <x:c r="H23" s="12" t="n">
        <x:f>B23*0.8*8760*'Site Inputs'!E3*'Site Inputs'!D3</x:f>
        <x:v>343392.00000000006</x:v>
      </x:c>
      <x:c r="I23" s="12" t="n">
        <x:f>'Scale Inputs'!D5*'Site Inputs'!F3*2080*1.4</x:f>
        <x:v>293442.24000000005</x:v>
      </x:c>
      <x:c r="J23" s="12" t="n">
        <x:f>'Scale Inputs'!E5*'Site Inputs'!G3*2080*1.4</x:f>
        <x:v>79628.64</x:v>
      </x:c>
      <x:c r="K23" s="12" t="n">
        <x:f>F23*2.5%</x:f>
        <x:v>86250</x:v>
      </x:c>
      <x:c r="L23" s="12" t="n">
        <x:f>E23*'Site Inputs'!I3</x:f>
        <x:v>21600</x:v>
      </x:c>
      <x:c r="M23" s="12" t="n">
        <x:f>'Scale Inputs'!F5</x:f>
        <x:v>72000</x:v>
      </x:c>
      <x:c r="N23" s="12" t="n">
        <x:f>SUM(H23:M23)</x:f>
        <x:v>896312.8800000001</x:v>
      </x:c>
      <x:c r="O23" s="12" t="n">
        <x:f>E23*70%+F23*20%</x:f>
        <x:v>1635000</x:v>
      </x:c>
      <x:c r="P23" s="12" t="n">
        <x:f>G23+N23*C23-O23</x:f>
        <x:v>7646564.4</x:v>
      </x:c>
      <x:c r="Q23" s="12" t="n">
        <x:f>B23*'Scale Inputs'!G5*12+'Scale Inputs'!H5</x:f>
        <x:v>1122000</x:v>
      </x:c>
      <x:c r="R23" s="12" t="n">
        <x:f>Q23*C23</x:f>
        <x:v>5610000</x:v>
      </x:c>
      <x:c r="S23" s="12" t="n">
        <x:f>P23-R23</x:f>
        <x:v>2036564.4000000004</x:v>
      </x:c>
      <x:c r="T23" s="8" t="n">
        <x:f>IF(Q23&lt;=N23,"N/M",(G23-O23)/(Q23-N23))</x:f>
        <x:v>14.023839729976624</x:v>
      </x:c>
      <x:c r="U23" s="8"/>
      <x:c r="V23" s="8"/>
      <x:c r="W23" s="8"/>
      <x:c r="X23" s="8"/>
      <x:c r="Y23" s="8"/>
      <x:c r="Z23" s="8"/>
    </x:row>
    <x:row r="24" ht="15" hidden="0" customHeight="1">
      <x:c r="A24" s="8" t="str">
        <x:f>'Site Inputs'!A3</x:f>
        <x:v>Sacramento</x:v>
      </x:c>
      <x:c r="B24" s="8" t="n">
        <x:f>'Scale Inputs'!A5</x:f>
        <x:v>250</x:v>
      </x:c>
      <x:c r="C24" s="8" t="n">
        <x:v>10</x:v>
      </x:c>
      <x:c r="D24" s="8" t="n">
        <x:f>'Scale Inputs'!B5</x:f>
        <x:v>9000</x:v>
      </x:c>
      <x:c r="E24" s="12" t="n">
        <x:f>D24*'Site Inputs'!C3</x:f>
        <x:v>1350000</x:v>
      </x:c>
      <x:c r="F24" s="12" t="n">
        <x:f>'Scale Inputs'!C5*'Site Inputs'!H3</x:f>
        <x:v>3449999.9999999995</x:v>
      </x:c>
      <x:c r="G24" s="12" t="n">
        <x:f>E24+F24</x:f>
        <x:v>4800000</x:v>
      </x:c>
      <x:c r="H24" s="12" t="n">
        <x:f>B24*0.8*8760*'Site Inputs'!E3*'Site Inputs'!D3</x:f>
        <x:v>343392.00000000006</x:v>
      </x:c>
      <x:c r="I24" s="12" t="n">
        <x:f>'Scale Inputs'!D5*'Site Inputs'!F3*2080*1.4</x:f>
        <x:v>293442.24000000005</x:v>
      </x:c>
      <x:c r="J24" s="12" t="n">
        <x:f>'Scale Inputs'!E5*'Site Inputs'!G3*2080*1.4</x:f>
        <x:v>79628.64</x:v>
      </x:c>
      <x:c r="K24" s="12" t="n">
        <x:f>F24*2.5%</x:f>
        <x:v>86250</x:v>
      </x:c>
      <x:c r="L24" s="12" t="n">
        <x:f>E24*'Site Inputs'!I3</x:f>
        <x:v>21600</x:v>
      </x:c>
      <x:c r="M24" s="12" t="n">
        <x:f>'Scale Inputs'!F5</x:f>
        <x:v>72000</x:v>
      </x:c>
      <x:c r="N24" s="12" t="n">
        <x:f>SUM(H24:M24)</x:f>
        <x:v>896312.8800000001</x:v>
      </x:c>
      <x:c r="O24" s="12" t="n">
        <x:f>E24*70%+F24*20%</x:f>
        <x:v>1635000</x:v>
      </x:c>
      <x:c r="P24" s="12" t="n">
        <x:f>G24+N24*C24-O24</x:f>
        <x:v>12128128.8</x:v>
      </x:c>
      <x:c r="Q24" s="12" t="n">
        <x:f>B24*'Scale Inputs'!G5*12+'Scale Inputs'!H5</x:f>
        <x:v>1122000</x:v>
      </x:c>
      <x:c r="R24" s="12" t="n">
        <x:f>Q24*C24</x:f>
        <x:v>11220000</x:v>
      </x:c>
      <x:c r="S24" s="12" t="n">
        <x:f>P24-R24</x:f>
        <x:v>908128.8000000007</x:v>
      </x:c>
      <x:c r="T24" s="8" t="n">
        <x:f>IF(Q24&lt;=N24,"N/M",(G24-O24)/(Q24-N24))</x:f>
        <x:v>14.023839729976624</x:v>
      </x:c>
      <x:c r="U24" s="8"/>
      <x:c r="V24" s="8"/>
      <x:c r="W24" s="8"/>
      <x:c r="X24" s="8"/>
      <x:c r="Y24" s="8"/>
      <x:c r="Z24" s="8"/>
    </x:row>
    <x:row r="25" ht="15" hidden="0" customHeight="1">
      <x:c r="A25" s="8" t="str">
        <x:f>'Site Inputs'!A3</x:f>
        <x:v>Sacramento</x:v>
      </x:c>
      <x:c r="B25" s="8" t="n">
        <x:f>'Scale Inputs'!A5</x:f>
        <x:v>250</x:v>
      </x:c>
      <x:c r="C25" s="8" t="n">
        <x:v>15</x:v>
      </x:c>
      <x:c r="D25" s="8" t="n">
        <x:f>'Scale Inputs'!B5</x:f>
        <x:v>9000</x:v>
      </x:c>
      <x:c r="E25" s="12" t="n">
        <x:f>D25*'Site Inputs'!C3</x:f>
        <x:v>1350000</x:v>
      </x:c>
      <x:c r="F25" s="12" t="n">
        <x:f>'Scale Inputs'!C5*'Site Inputs'!H3</x:f>
        <x:v>3449999.9999999995</x:v>
      </x:c>
      <x:c r="G25" s="12" t="n">
        <x:f>E25+F25</x:f>
        <x:v>4800000</x:v>
      </x:c>
      <x:c r="H25" s="12" t="n">
        <x:f>B25*0.8*8760*'Site Inputs'!E3*'Site Inputs'!D3</x:f>
        <x:v>343392.00000000006</x:v>
      </x:c>
      <x:c r="I25" s="12" t="n">
        <x:f>'Scale Inputs'!D5*'Site Inputs'!F3*2080*1.4</x:f>
        <x:v>293442.24000000005</x:v>
      </x:c>
      <x:c r="J25" s="12" t="n">
        <x:f>'Scale Inputs'!E5*'Site Inputs'!G3*2080*1.4</x:f>
        <x:v>79628.64</x:v>
      </x:c>
      <x:c r="K25" s="12" t="n">
        <x:f>F25*2.5%</x:f>
        <x:v>86250</x:v>
      </x:c>
      <x:c r="L25" s="12" t="n">
        <x:f>E25*'Site Inputs'!I3</x:f>
        <x:v>21600</x:v>
      </x:c>
      <x:c r="M25" s="12" t="n">
        <x:f>'Scale Inputs'!F5</x:f>
        <x:v>72000</x:v>
      </x:c>
      <x:c r="N25" s="12" t="n">
        <x:f>SUM(H25:M25)</x:f>
        <x:v>896312.8800000001</x:v>
      </x:c>
      <x:c r="O25" s="12" t="n">
        <x:f>E25*70%+F25*20%</x:f>
        <x:v>1635000</x:v>
      </x:c>
      <x:c r="P25" s="12" t="n">
        <x:f>G25+N25*C25-O25</x:f>
        <x:v>16609693.200000003</x:v>
      </x:c>
      <x:c r="Q25" s="12" t="n">
        <x:f>B25*'Scale Inputs'!G5*12+'Scale Inputs'!H5</x:f>
        <x:v>1122000</x:v>
      </x:c>
      <x:c r="R25" s="12" t="n">
        <x:f>Q25*C25</x:f>
        <x:v>16830000</x:v>
      </x:c>
      <x:c r="S25" s="12" t="n">
        <x:f>P25-R25</x:f>
        <x:v>-220306.79999999702</x:v>
      </x:c>
      <x:c r="T25" s="8" t="n">
        <x:f>IF(Q25&lt;=N25,"N/M",(G25-O25)/(Q25-N25))</x:f>
        <x:v>14.023839729976624</x:v>
      </x:c>
      <x:c r="U25" s="8"/>
      <x:c r="V25" s="8"/>
      <x:c r="W25" s="8"/>
      <x:c r="X25" s="8"/>
      <x:c r="Y25" s="8"/>
      <x:c r="Z25" s="8"/>
    </x:row>
    <x:row r="26" ht="15" hidden="0" customHeight="1">
      <x:c r="A26" s="8" t="str">
        <x:f>'Site Inputs'!A4</x:f>
        <x:v>Boise</x:v>
      </x:c>
      <x:c r="B26" s="8" t="n">
        <x:f>'Scale Inputs'!A2</x:f>
        <x:v>25</x:v>
      </x:c>
      <x:c r="C26" s="8" t="n">
        <x:v>5</x:v>
      </x:c>
      <x:c r="D26" s="8" t="n">
        <x:f>'Scale Inputs'!B2</x:f>
        <x:v>4000</x:v>
      </x:c>
      <x:c r="E26" s="12" t="n">
        <x:f>D26*'Site Inputs'!C4</x:f>
        <x:v>660000</x:v>
      </x:c>
      <x:c r="F26" s="12" t="n">
        <x:f>'Scale Inputs'!C2*'Site Inputs'!H4</x:f>
        <x:v>1012000</x:v>
      </x:c>
      <x:c r="G26" s="12" t="n">
        <x:f>E26+F26</x:f>
        <x:v>1672000</x:v>
      </x:c>
      <x:c r="H26" s="12" t="n">
        <x:f>B26*0.8*8760*'Site Inputs'!E4*'Site Inputs'!D4</x:f>
        <x:v>17082</x:v>
      </x:c>
      <x:c r="I26" s="12" t="n">
        <x:f>'Scale Inputs'!D2*'Site Inputs'!F4*2080*1.4</x:f>
        <x:v>105560</x:v>
      </x:c>
      <x:c r="J26" s="12" t="n">
        <x:f>'Scale Inputs'!E2*'Site Inputs'!G4*2080*1.4</x:f>
        <x:v>21112</x:v>
      </x:c>
      <x:c r="K26" s="12" t="n">
        <x:f>F26*2.5%</x:f>
        <x:v>25300</x:v>
      </x:c>
      <x:c r="L26" s="12" t="n">
        <x:f>E26*'Site Inputs'!I4</x:f>
        <x:v>7920</x:v>
      </x:c>
      <x:c r="M26" s="12" t="n">
        <x:f>'Scale Inputs'!F2</x:f>
        <x:v>36000</x:v>
      </x:c>
      <x:c r="N26" s="12" t="n">
        <x:f>SUM(H26:M26)</x:f>
        <x:v>212974</x:v>
      </x:c>
      <x:c r="O26" s="12" t="n">
        <x:f>E26*70%+F26*20%</x:f>
        <x:v>664400</x:v>
      </x:c>
      <x:c r="P26" s="12" t="n">
        <x:f>G26+N26*C26-O26</x:f>
        <x:v>2072470</x:v>
      </x:c>
      <x:c r="Q26" s="12" t="n">
        <x:f>B26*'Scale Inputs'!G2*12+'Scale Inputs'!H2</x:f>
        <x:v>141000</x:v>
      </x:c>
      <x:c r="R26" s="12" t="n">
        <x:f>Q26*C26</x:f>
        <x:v>705000</x:v>
      </x:c>
      <x:c r="S26" s="12" t="n">
        <x:f>P26-R26</x:f>
        <x:v>1367470</x:v>
      </x:c>
      <x:c r="T26" s="8" t="str">
        <x:f>IF(Q26&lt;=N26,"N/M",(G26-O26)/(Q26-N26))</x:f>
        <x:v>N/M</x:v>
      </x:c>
      <x:c r="U26" s="8"/>
      <x:c r="V26" s="8"/>
      <x:c r="W26" s="8"/>
      <x:c r="X26" s="8"/>
      <x:c r="Y26" s="8"/>
      <x:c r="Z26" s="8"/>
    </x:row>
    <x:row r="27" ht="15" hidden="0" customHeight="1">
      <x:c r="A27" s="8" t="str">
        <x:f>'Site Inputs'!A4</x:f>
        <x:v>Boise</x:v>
      </x:c>
      <x:c r="B27" s="8" t="n">
        <x:f>'Scale Inputs'!A2</x:f>
        <x:v>25</x:v>
      </x:c>
      <x:c r="C27" s="8" t="n">
        <x:v>10</x:v>
      </x:c>
      <x:c r="D27" s="8" t="n">
        <x:f>'Scale Inputs'!B2</x:f>
        <x:v>4000</x:v>
      </x:c>
      <x:c r="E27" s="12" t="n">
        <x:f>D27*'Site Inputs'!C4</x:f>
        <x:v>660000</x:v>
      </x:c>
      <x:c r="F27" s="12" t="n">
        <x:f>'Scale Inputs'!C2*'Site Inputs'!H4</x:f>
        <x:v>1012000</x:v>
      </x:c>
      <x:c r="G27" s="12" t="n">
        <x:f>E27+F27</x:f>
        <x:v>1672000</x:v>
      </x:c>
      <x:c r="H27" s="12" t="n">
        <x:f>B27*0.8*8760*'Site Inputs'!E4*'Site Inputs'!D4</x:f>
        <x:v>17082</x:v>
      </x:c>
      <x:c r="I27" s="12" t="n">
        <x:f>'Scale Inputs'!D2*'Site Inputs'!F4*2080*1.4</x:f>
        <x:v>105560</x:v>
      </x:c>
      <x:c r="J27" s="12" t="n">
        <x:f>'Scale Inputs'!E2*'Site Inputs'!G4*2080*1.4</x:f>
        <x:v>21112</x:v>
      </x:c>
      <x:c r="K27" s="12" t="n">
        <x:f>F27*2.5%</x:f>
        <x:v>25300</x:v>
      </x:c>
      <x:c r="L27" s="12" t="n">
        <x:f>E27*'Site Inputs'!I4</x:f>
        <x:v>7920</x:v>
      </x:c>
      <x:c r="M27" s="12" t="n">
        <x:f>'Scale Inputs'!F2</x:f>
        <x:v>36000</x:v>
      </x:c>
      <x:c r="N27" s="12" t="n">
        <x:f>SUM(H27:M27)</x:f>
        <x:v>212974</x:v>
      </x:c>
      <x:c r="O27" s="12" t="n">
        <x:f>E27*70%+F27*20%</x:f>
        <x:v>664400</x:v>
      </x:c>
      <x:c r="P27" s="12" t="n">
        <x:f>G27+N27*C27-O27</x:f>
        <x:v>3137340</x:v>
      </x:c>
      <x:c r="Q27" s="12" t="n">
        <x:f>B27*'Scale Inputs'!G2*12+'Scale Inputs'!H2</x:f>
        <x:v>141000</x:v>
      </x:c>
      <x:c r="R27" s="12" t="n">
        <x:f>Q27*C27</x:f>
        <x:v>1410000</x:v>
      </x:c>
      <x:c r="S27" s="12" t="n">
        <x:f>P27-R27</x:f>
        <x:v>1727340</x:v>
      </x:c>
      <x:c r="T27" s="8" t="str">
        <x:f>IF(Q27&lt;=N27,"N/M",(G27-O27)/(Q27-N27))</x:f>
        <x:v>N/M</x:v>
      </x:c>
      <x:c r="U27" s="8"/>
      <x:c r="V27" s="8"/>
      <x:c r="W27" s="8"/>
      <x:c r="X27" s="8"/>
      <x:c r="Y27" s="8"/>
      <x:c r="Z27" s="8"/>
    </x:row>
    <x:row r="28" ht="15" hidden="0" customHeight="1">
      <x:c r="A28" s="8" t="str">
        <x:f>'Site Inputs'!A4</x:f>
        <x:v>Boise</x:v>
      </x:c>
      <x:c r="B28" s="8" t="n">
        <x:f>'Scale Inputs'!A2</x:f>
        <x:v>25</x:v>
      </x:c>
      <x:c r="C28" s="8" t="n">
        <x:v>15</x:v>
      </x:c>
      <x:c r="D28" s="8" t="n">
        <x:f>'Scale Inputs'!B2</x:f>
        <x:v>4000</x:v>
      </x:c>
      <x:c r="E28" s="12" t="n">
        <x:f>D28*'Site Inputs'!C4</x:f>
        <x:v>660000</x:v>
      </x:c>
      <x:c r="F28" s="12" t="n">
        <x:f>'Scale Inputs'!C2*'Site Inputs'!H4</x:f>
        <x:v>1012000</x:v>
      </x:c>
      <x:c r="G28" s="12" t="n">
        <x:f>E28+F28</x:f>
        <x:v>1672000</x:v>
      </x:c>
      <x:c r="H28" s="12" t="n">
        <x:f>B28*0.8*8760*'Site Inputs'!E4*'Site Inputs'!D4</x:f>
        <x:v>17082</x:v>
      </x:c>
      <x:c r="I28" s="12" t="n">
        <x:f>'Scale Inputs'!D2*'Site Inputs'!F4*2080*1.4</x:f>
        <x:v>105560</x:v>
      </x:c>
      <x:c r="J28" s="12" t="n">
        <x:f>'Scale Inputs'!E2*'Site Inputs'!G4*2080*1.4</x:f>
        <x:v>21112</x:v>
      </x:c>
      <x:c r="K28" s="12" t="n">
        <x:f>F28*2.5%</x:f>
        <x:v>25300</x:v>
      </x:c>
      <x:c r="L28" s="12" t="n">
        <x:f>E28*'Site Inputs'!I4</x:f>
        <x:v>7920</x:v>
      </x:c>
      <x:c r="M28" s="12" t="n">
        <x:f>'Scale Inputs'!F2</x:f>
        <x:v>36000</x:v>
      </x:c>
      <x:c r="N28" s="12" t="n">
        <x:f>SUM(H28:M28)</x:f>
        <x:v>212974</x:v>
      </x:c>
      <x:c r="O28" s="12" t="n">
        <x:f>E28*70%+F28*20%</x:f>
        <x:v>664400</x:v>
      </x:c>
      <x:c r="P28" s="12" t="n">
        <x:f>G28+N28*C28-O28</x:f>
        <x:v>4202210</x:v>
      </x:c>
      <x:c r="Q28" s="12" t="n">
        <x:f>B28*'Scale Inputs'!G2*12+'Scale Inputs'!H2</x:f>
        <x:v>141000</x:v>
      </x:c>
      <x:c r="R28" s="12" t="n">
        <x:f>Q28*C28</x:f>
        <x:v>2115000</x:v>
      </x:c>
      <x:c r="S28" s="12" t="n">
        <x:f>P28-R28</x:f>
        <x:v>2087210</x:v>
      </x:c>
      <x:c r="T28" s="8" t="str">
        <x:f>IF(Q28&lt;=N28,"N/M",(G28-O28)/(Q28-N28))</x:f>
        <x:v>N/M</x:v>
      </x:c>
      <x:c r="U28" s="8"/>
      <x:c r="V28" s="8"/>
      <x:c r="W28" s="8"/>
      <x:c r="X28" s="8"/>
      <x:c r="Y28" s="8"/>
      <x:c r="Z28" s="8"/>
    </x:row>
    <x:row r="29" ht="15" hidden="0" customHeight="1">
      <x:c r="A29" s="8" t="str">
        <x:f>'Site Inputs'!A4</x:f>
        <x:v>Boise</x:v>
      </x:c>
      <x:c r="B29" s="8" t="n">
        <x:f>'Scale Inputs'!A3</x:f>
        <x:v>50</x:v>
      </x:c>
      <x:c r="C29" s="8" t="n">
        <x:v>5</x:v>
      </x:c>
      <x:c r="D29" s="8" t="n">
        <x:f>'Scale Inputs'!B3</x:f>
        <x:v>5000</x:v>
      </x:c>
      <x:c r="E29" s="12" t="n">
        <x:f>D29*'Site Inputs'!C4</x:f>
        <x:v>825000</x:v>
      </x:c>
      <x:c r="F29" s="12" t="n">
        <x:f>'Scale Inputs'!C3*'Site Inputs'!H4</x:f>
        <x:v>1242000</x:v>
      </x:c>
      <x:c r="G29" s="12" t="n">
        <x:f>E29+F29</x:f>
        <x:v>2067000</x:v>
      </x:c>
      <x:c r="H29" s="12" t="n">
        <x:f>B29*0.8*8760*'Site Inputs'!E4*'Site Inputs'!D4</x:f>
        <x:v>34164</x:v>
      </x:c>
      <x:c r="I29" s="12" t="n">
        <x:f>'Scale Inputs'!D3*'Site Inputs'!F4*2080*1.4</x:f>
        <x:v>126671.99999999999</x:v>
      </x:c>
      <x:c r="J29" s="12" t="n">
        <x:f>'Scale Inputs'!E3*'Site Inputs'!G4*2080*1.4</x:f>
        <x:v>29556.799999999992</x:v>
      </x:c>
      <x:c r="K29" s="12" t="n">
        <x:f>F29*2.5%</x:f>
        <x:v>31050</x:v>
      </x:c>
      <x:c r="L29" s="12" t="n">
        <x:f>E29*'Site Inputs'!I4</x:f>
        <x:v>9900</x:v>
      </x:c>
      <x:c r="M29" s="12" t="n">
        <x:f>'Scale Inputs'!F3</x:f>
        <x:v>42000</x:v>
      </x:c>
      <x:c r="N29" s="12" t="n">
        <x:f>SUM(H29:M29)</x:f>
        <x:v>273342.8</x:v>
      </x:c>
      <x:c r="O29" s="12" t="n">
        <x:f>E29*70%+F29*20%</x:f>
        <x:v>825900</x:v>
      </x:c>
      <x:c r="P29" s="12" t="n">
        <x:f>G29+N29*C29-O29</x:f>
        <x:v>2607814</x:v>
      </x:c>
      <x:c r="Q29" s="12" t="n">
        <x:f>B29*'Scale Inputs'!G3*12+'Scale Inputs'!H3</x:f>
        <x:v>246000</x:v>
      </x:c>
      <x:c r="R29" s="12" t="n">
        <x:f>Q29*C29</x:f>
        <x:v>1230000</x:v>
      </x:c>
      <x:c r="S29" s="12" t="n">
        <x:f>P29-R29</x:f>
        <x:v>1377814</x:v>
      </x:c>
      <x:c r="T29" s="8" t="str">
        <x:f>IF(Q29&lt;=N29,"N/M",(G29-O29)/(Q29-N29))</x:f>
        <x:v>N/M</x:v>
      </x:c>
      <x:c r="U29" s="8"/>
      <x:c r="V29" s="8"/>
      <x:c r="W29" s="8"/>
      <x:c r="X29" s="8"/>
      <x:c r="Y29" s="8"/>
      <x:c r="Z29" s="8"/>
    </x:row>
    <x:row r="30" ht="15" hidden="0" customHeight="1">
      <x:c r="A30" s="8" t="str">
        <x:f>'Site Inputs'!A4</x:f>
        <x:v>Boise</x:v>
      </x:c>
      <x:c r="B30" s="8" t="n">
        <x:f>'Scale Inputs'!A3</x:f>
        <x:v>50</x:v>
      </x:c>
      <x:c r="C30" s="8" t="n">
        <x:v>10</x:v>
      </x:c>
      <x:c r="D30" s="8" t="n">
        <x:f>'Scale Inputs'!B3</x:f>
        <x:v>5000</x:v>
      </x:c>
      <x:c r="E30" s="12" t="n">
        <x:f>D30*'Site Inputs'!C4</x:f>
        <x:v>825000</x:v>
      </x:c>
      <x:c r="F30" s="12" t="n">
        <x:f>'Scale Inputs'!C3*'Site Inputs'!H4</x:f>
        <x:v>1242000</x:v>
      </x:c>
      <x:c r="G30" s="12" t="n">
        <x:f>E30+F30</x:f>
        <x:v>2067000</x:v>
      </x:c>
      <x:c r="H30" s="12" t="n">
        <x:f>B30*0.8*8760*'Site Inputs'!E4*'Site Inputs'!D4</x:f>
        <x:v>34164</x:v>
      </x:c>
      <x:c r="I30" s="12" t="n">
        <x:f>'Scale Inputs'!D3*'Site Inputs'!F4*2080*1.4</x:f>
        <x:v>126671.99999999999</x:v>
      </x:c>
      <x:c r="J30" s="12" t="n">
        <x:f>'Scale Inputs'!E3*'Site Inputs'!G4*2080*1.4</x:f>
        <x:v>29556.799999999992</x:v>
      </x:c>
      <x:c r="K30" s="12" t="n">
        <x:f>F30*2.5%</x:f>
        <x:v>31050</x:v>
      </x:c>
      <x:c r="L30" s="12" t="n">
        <x:f>E30*'Site Inputs'!I4</x:f>
        <x:v>9900</x:v>
      </x:c>
      <x:c r="M30" s="12" t="n">
        <x:f>'Scale Inputs'!F3</x:f>
        <x:v>42000</x:v>
      </x:c>
      <x:c r="N30" s="12" t="n">
        <x:f>SUM(H30:M30)</x:f>
        <x:v>273342.8</x:v>
      </x:c>
      <x:c r="O30" s="12" t="n">
        <x:f>E30*70%+F30*20%</x:f>
        <x:v>825900</x:v>
      </x:c>
      <x:c r="P30" s="12" t="n">
        <x:f>G30+N30*C30-O30</x:f>
        <x:v>3974528</x:v>
      </x:c>
      <x:c r="Q30" s="12" t="n">
        <x:f>B30*'Scale Inputs'!G3*12+'Scale Inputs'!H3</x:f>
        <x:v>246000</x:v>
      </x:c>
      <x:c r="R30" s="12" t="n">
        <x:f>Q30*C30</x:f>
        <x:v>2460000</x:v>
      </x:c>
      <x:c r="S30" s="12" t="n">
        <x:f>P30-R30</x:f>
        <x:v>1514528</x:v>
      </x:c>
      <x:c r="T30" s="8" t="str">
        <x:f>IF(Q30&lt;=N30,"N/M",(G30-O30)/(Q30-N30))</x:f>
        <x:v>N/M</x:v>
      </x:c>
      <x:c r="U30" s="8"/>
      <x:c r="V30" s="8"/>
      <x:c r="W30" s="8"/>
      <x:c r="X30" s="8"/>
      <x:c r="Y30" s="8"/>
      <x:c r="Z30" s="8"/>
    </x:row>
    <x:row r="31" ht="15" hidden="0" customHeight="1">
      <x:c r="A31" s="8" t="str">
        <x:f>'Site Inputs'!A4</x:f>
        <x:v>Boise</x:v>
      </x:c>
      <x:c r="B31" s="8" t="n">
        <x:f>'Scale Inputs'!A3</x:f>
        <x:v>50</x:v>
      </x:c>
      <x:c r="C31" s="8" t="n">
        <x:v>15</x:v>
      </x:c>
      <x:c r="D31" s="8" t="n">
        <x:f>'Scale Inputs'!B3</x:f>
        <x:v>5000</x:v>
      </x:c>
      <x:c r="E31" s="12" t="n">
        <x:f>D31*'Site Inputs'!C4</x:f>
        <x:v>825000</x:v>
      </x:c>
      <x:c r="F31" s="12" t="n">
        <x:f>'Scale Inputs'!C3*'Site Inputs'!H4</x:f>
        <x:v>1242000</x:v>
      </x:c>
      <x:c r="G31" s="12" t="n">
        <x:f>E31+F31</x:f>
        <x:v>2067000</x:v>
      </x:c>
      <x:c r="H31" s="12" t="n">
        <x:f>B31*0.8*8760*'Site Inputs'!E4*'Site Inputs'!D4</x:f>
        <x:v>34164</x:v>
      </x:c>
      <x:c r="I31" s="12" t="n">
        <x:f>'Scale Inputs'!D3*'Site Inputs'!F4*2080*1.4</x:f>
        <x:v>126671.99999999999</x:v>
      </x:c>
      <x:c r="J31" s="12" t="n">
        <x:f>'Scale Inputs'!E3*'Site Inputs'!G4*2080*1.4</x:f>
        <x:v>29556.799999999992</x:v>
      </x:c>
      <x:c r="K31" s="12" t="n">
        <x:f>F31*2.5%</x:f>
        <x:v>31050</x:v>
      </x:c>
      <x:c r="L31" s="12" t="n">
        <x:f>E31*'Site Inputs'!I4</x:f>
        <x:v>9900</x:v>
      </x:c>
      <x:c r="M31" s="12" t="n">
        <x:f>'Scale Inputs'!F3</x:f>
        <x:v>42000</x:v>
      </x:c>
      <x:c r="N31" s="12" t="n">
        <x:f>SUM(H31:M31)</x:f>
        <x:v>273342.8</x:v>
      </x:c>
      <x:c r="O31" s="12" t="n">
        <x:f>E31*70%+F31*20%</x:f>
        <x:v>825900</x:v>
      </x:c>
      <x:c r="P31" s="12" t="n">
        <x:f>G31+N31*C31-O31</x:f>
        <x:v>5341242</x:v>
      </x:c>
      <x:c r="Q31" s="12" t="n">
        <x:f>B31*'Scale Inputs'!G3*12+'Scale Inputs'!H3</x:f>
        <x:v>246000</x:v>
      </x:c>
      <x:c r="R31" s="12" t="n">
        <x:f>Q31*C31</x:f>
        <x:v>3690000</x:v>
      </x:c>
      <x:c r="S31" s="12" t="n">
        <x:f>P31-R31</x:f>
        <x:v>1651242</x:v>
      </x:c>
      <x:c r="T31" s="8" t="str">
        <x:f>IF(Q31&lt;=N31,"N/M",(G31-O31)/(Q31-N31))</x:f>
        <x:v>N/M</x:v>
      </x:c>
      <x:c r="U31" s="8"/>
      <x:c r="V31" s="8"/>
      <x:c r="W31" s="8"/>
      <x:c r="X31" s="8"/>
      <x:c r="Y31" s="8"/>
      <x:c r="Z31" s="8"/>
    </x:row>
    <x:row r="32" ht="15" hidden="0" customHeight="1">
      <x:c r="A32" s="8" t="str">
        <x:f>'Site Inputs'!A4</x:f>
        <x:v>Boise</x:v>
      </x:c>
      <x:c r="B32" s="8" t="n">
        <x:f>'Scale Inputs'!A4</x:f>
        <x:v>100</x:v>
      </x:c>
      <x:c r="C32" s="8" t="n">
        <x:v>5</x:v>
      </x:c>
      <x:c r="D32" s="8" t="n">
        <x:f>'Scale Inputs'!B4</x:f>
        <x:v>6000</x:v>
      </x:c>
      <x:c r="E32" s="12" t="n">
        <x:f>D32*'Site Inputs'!C4</x:f>
        <x:v>990000</x:v>
      </x:c>
      <x:c r="F32" s="12" t="n">
        <x:f>'Scale Inputs'!C4*'Site Inputs'!H4</x:f>
        <x:v>1656000</x:v>
      </x:c>
      <x:c r="G32" s="12" t="n">
        <x:f>E32+F32</x:f>
        <x:v>2646000</x:v>
      </x:c>
      <x:c r="H32" s="12" t="n">
        <x:f>B32*0.8*8760*'Site Inputs'!E4*'Site Inputs'!D4</x:f>
        <x:v>68328</x:v>
      </x:c>
      <x:c r="I32" s="12" t="n">
        <x:f>'Scale Inputs'!D4*'Site Inputs'!F4*2080*1.4</x:f>
        <x:v>168896</x:v>
      </x:c>
      <x:c r="J32" s="12" t="n">
        <x:f>'Scale Inputs'!E4*'Site Inputs'!G4*2080*1.4</x:f>
        <x:v>42224</x:v>
      </x:c>
      <x:c r="K32" s="12" t="n">
        <x:f>F32*2.5%</x:f>
        <x:v>41400</x:v>
      </x:c>
      <x:c r="L32" s="12" t="n">
        <x:f>E32*'Site Inputs'!I4</x:f>
        <x:v>11880</x:v>
      </x:c>
      <x:c r="M32" s="12" t="n">
        <x:f>'Scale Inputs'!F4</x:f>
        <x:v>54000</x:v>
      </x:c>
      <x:c r="N32" s="12" t="n">
        <x:f>SUM(H32:M32)</x:f>
        <x:v>386728</x:v>
      </x:c>
      <x:c r="O32" s="12" t="n">
        <x:f>E32*70%+F32*20%</x:f>
        <x:v>1024200</x:v>
      </x:c>
      <x:c r="P32" s="12" t="n">
        <x:f>G32+N32*C32-O32</x:f>
        <x:v>3555440</x:v>
      </x:c>
      <x:c r="Q32" s="12" t="n">
        <x:f>B32*'Scale Inputs'!G4*12+'Scale Inputs'!H4</x:f>
        <x:v>474000</x:v>
      </x:c>
      <x:c r="R32" s="12" t="n">
        <x:f>Q32*C32</x:f>
        <x:v>2370000</x:v>
      </x:c>
      <x:c r="S32" s="12" t="n">
        <x:f>P32-R32</x:f>
        <x:v>1185440</x:v>
      </x:c>
      <x:c r="T32" s="8" t="n">
        <x:f>IF(Q32&lt;=N32,"N/M",(G32-O32)/(Q32-N32))</x:f>
        <x:v>18.583279860665506</x:v>
      </x:c>
      <x:c r="U32" s="8"/>
      <x:c r="V32" s="8"/>
      <x:c r="W32" s="8"/>
      <x:c r="X32" s="8"/>
      <x:c r="Y32" s="8"/>
      <x:c r="Z32" s="8"/>
    </x:row>
    <x:row r="33" ht="15" hidden="0" customHeight="1">
      <x:c r="A33" s="8" t="str">
        <x:f>'Site Inputs'!A4</x:f>
        <x:v>Boise</x:v>
      </x:c>
      <x:c r="B33" s="8" t="n">
        <x:f>'Scale Inputs'!A4</x:f>
        <x:v>100</x:v>
      </x:c>
      <x:c r="C33" s="8" t="n">
        <x:v>10</x:v>
      </x:c>
      <x:c r="D33" s="8" t="n">
        <x:f>'Scale Inputs'!B4</x:f>
        <x:v>6000</x:v>
      </x:c>
      <x:c r="E33" s="12" t="n">
        <x:f>D33*'Site Inputs'!C4</x:f>
        <x:v>990000</x:v>
      </x:c>
      <x:c r="F33" s="12" t="n">
        <x:f>'Scale Inputs'!C4*'Site Inputs'!H4</x:f>
        <x:v>1656000</x:v>
      </x:c>
      <x:c r="G33" s="12" t="n">
        <x:f>E33+F33</x:f>
        <x:v>2646000</x:v>
      </x:c>
      <x:c r="H33" s="12" t="n">
        <x:f>B33*0.8*8760*'Site Inputs'!E4*'Site Inputs'!D4</x:f>
        <x:v>68328</x:v>
      </x:c>
      <x:c r="I33" s="12" t="n">
        <x:f>'Scale Inputs'!D4*'Site Inputs'!F4*2080*1.4</x:f>
        <x:v>168896</x:v>
      </x:c>
      <x:c r="J33" s="12" t="n">
        <x:f>'Scale Inputs'!E4*'Site Inputs'!G4*2080*1.4</x:f>
        <x:v>42224</x:v>
      </x:c>
      <x:c r="K33" s="12" t="n">
        <x:f>F33*2.5%</x:f>
        <x:v>41400</x:v>
      </x:c>
      <x:c r="L33" s="12" t="n">
        <x:f>E33*'Site Inputs'!I4</x:f>
        <x:v>11880</x:v>
      </x:c>
      <x:c r="M33" s="12" t="n">
        <x:f>'Scale Inputs'!F4</x:f>
        <x:v>54000</x:v>
      </x:c>
      <x:c r="N33" s="12" t="n">
        <x:f>SUM(H33:M33)</x:f>
        <x:v>386728</x:v>
      </x:c>
      <x:c r="O33" s="12" t="n">
        <x:f>E33*70%+F33*20%</x:f>
        <x:v>1024200</x:v>
      </x:c>
      <x:c r="P33" s="12" t="n">
        <x:f>G33+N33*C33-O33</x:f>
        <x:v>5489080</x:v>
      </x:c>
      <x:c r="Q33" s="12" t="n">
        <x:f>B33*'Scale Inputs'!G4*12+'Scale Inputs'!H4</x:f>
        <x:v>474000</x:v>
      </x:c>
      <x:c r="R33" s="12" t="n">
        <x:f>Q33*C33</x:f>
        <x:v>4740000</x:v>
      </x:c>
      <x:c r="S33" s="12" t="n">
        <x:f>P33-R33</x:f>
        <x:v>749080</x:v>
      </x:c>
      <x:c r="T33" s="8" t="n">
        <x:f>IF(Q33&lt;=N33,"N/M",(G33-O33)/(Q33-N33))</x:f>
        <x:v>18.583279860665506</x:v>
      </x:c>
      <x:c r="U33" s="8"/>
      <x:c r="V33" s="8"/>
      <x:c r="W33" s="8"/>
      <x:c r="X33" s="8"/>
      <x:c r="Y33" s="8"/>
      <x:c r="Z33" s="8"/>
    </x:row>
    <x:row r="34" ht="15" hidden="0" customHeight="1">
      <x:c r="A34" s="8" t="str">
        <x:f>'Site Inputs'!A4</x:f>
        <x:v>Boise</x:v>
      </x:c>
      <x:c r="B34" s="8" t="n">
        <x:f>'Scale Inputs'!A4</x:f>
        <x:v>100</x:v>
      </x:c>
      <x:c r="C34" s="8" t="n">
        <x:v>15</x:v>
      </x:c>
      <x:c r="D34" s="8" t="n">
        <x:f>'Scale Inputs'!B4</x:f>
        <x:v>6000</x:v>
      </x:c>
      <x:c r="E34" s="12" t="n">
        <x:f>D34*'Site Inputs'!C4</x:f>
        <x:v>990000</x:v>
      </x:c>
      <x:c r="F34" s="12" t="n">
        <x:f>'Scale Inputs'!C4*'Site Inputs'!H4</x:f>
        <x:v>1656000</x:v>
      </x:c>
      <x:c r="G34" s="12" t="n">
        <x:f>E34+F34</x:f>
        <x:v>2646000</x:v>
      </x:c>
      <x:c r="H34" s="12" t="n">
        <x:f>B34*0.8*8760*'Site Inputs'!E4*'Site Inputs'!D4</x:f>
        <x:v>68328</x:v>
      </x:c>
      <x:c r="I34" s="12" t="n">
        <x:f>'Scale Inputs'!D4*'Site Inputs'!F4*2080*1.4</x:f>
        <x:v>168896</x:v>
      </x:c>
      <x:c r="J34" s="12" t="n">
        <x:f>'Scale Inputs'!E4*'Site Inputs'!G4*2080*1.4</x:f>
        <x:v>42224</x:v>
      </x:c>
      <x:c r="K34" s="12" t="n">
        <x:f>F34*2.5%</x:f>
        <x:v>41400</x:v>
      </x:c>
      <x:c r="L34" s="12" t="n">
        <x:f>E34*'Site Inputs'!I4</x:f>
        <x:v>11880</x:v>
      </x:c>
      <x:c r="M34" s="12" t="n">
        <x:f>'Scale Inputs'!F4</x:f>
        <x:v>54000</x:v>
      </x:c>
      <x:c r="N34" s="12" t="n">
        <x:f>SUM(H34:M34)</x:f>
        <x:v>386728</x:v>
      </x:c>
      <x:c r="O34" s="12" t="n">
        <x:f>E34*70%+F34*20%</x:f>
        <x:v>1024200</x:v>
      </x:c>
      <x:c r="P34" s="12" t="n">
        <x:f>G34+N34*C34-O34</x:f>
        <x:v>7422720</x:v>
      </x:c>
      <x:c r="Q34" s="12" t="n">
        <x:f>B34*'Scale Inputs'!G4*12+'Scale Inputs'!H4</x:f>
        <x:v>474000</x:v>
      </x:c>
      <x:c r="R34" s="12" t="n">
        <x:f>Q34*C34</x:f>
        <x:v>7110000</x:v>
      </x:c>
      <x:c r="S34" s="12" t="n">
        <x:f>P34-R34</x:f>
        <x:v>312720</x:v>
      </x:c>
      <x:c r="T34" s="8" t="n">
        <x:f>IF(Q34&lt;=N34,"N/M",(G34-O34)/(Q34-N34))</x:f>
        <x:v>18.583279860665506</x:v>
      </x:c>
      <x:c r="U34" s="8"/>
      <x:c r="V34" s="8"/>
      <x:c r="W34" s="8"/>
      <x:c r="X34" s="8"/>
      <x:c r="Y34" s="8"/>
      <x:c r="Z34" s="8"/>
    </x:row>
    <x:row r="35" ht="15" hidden="0" customHeight="1">
      <x:c r="A35" s="8" t="str">
        <x:f>'Site Inputs'!A4</x:f>
        <x:v>Boise</x:v>
      </x:c>
      <x:c r="B35" s="8" t="n">
        <x:f>'Scale Inputs'!A5</x:f>
        <x:v>250</x:v>
      </x:c>
      <x:c r="C35" s="8" t="n">
        <x:v>5</x:v>
      </x:c>
      <x:c r="D35" s="8" t="n">
        <x:f>'Scale Inputs'!B5</x:f>
        <x:v>9000</x:v>
      </x:c>
      <x:c r="E35" s="12" t="n">
        <x:f>D35*'Site Inputs'!C4</x:f>
        <x:v>1485000</x:v>
      </x:c>
      <x:c r="F35" s="12" t="n">
        <x:f>'Scale Inputs'!C5*'Site Inputs'!H4</x:f>
        <x:v>2760000</x:v>
      </x:c>
      <x:c r="G35" s="12" t="n">
        <x:f>E35+F35</x:f>
        <x:v>4245000</x:v>
      </x:c>
      <x:c r="H35" s="12" t="n">
        <x:f>B35*0.8*8760*'Site Inputs'!E4*'Site Inputs'!D4</x:f>
        <x:v>170820</x:v>
      </x:c>
      <x:c r="I35" s="12" t="n">
        <x:f>'Scale Inputs'!D5*'Site Inputs'!F4*2080*1.4</x:f>
        <x:v>253343.99999999997</x:v>
      </x:c>
      <x:c r="J35" s="12" t="n">
        <x:f>'Scale Inputs'!E5*'Site Inputs'!G4*2080*1.4</x:f>
        <x:v>63335.99999999999</x:v>
      </x:c>
      <x:c r="K35" s="12" t="n">
        <x:f>F35*2.5%</x:f>
        <x:v>69000</x:v>
      </x:c>
      <x:c r="L35" s="12" t="n">
        <x:f>E35*'Site Inputs'!I4</x:f>
        <x:v>17820</x:v>
      </x:c>
      <x:c r="M35" s="12" t="n">
        <x:f>'Scale Inputs'!F5</x:f>
        <x:v>72000</x:v>
      </x:c>
      <x:c r="N35" s="12" t="n">
        <x:f>SUM(H35:M35)</x:f>
        <x:v>646320</x:v>
      </x:c>
      <x:c r="O35" s="12" t="n">
        <x:f>E35*70%+F35*20%</x:f>
        <x:v>1591500</x:v>
      </x:c>
      <x:c r="P35" s="12" t="n">
        <x:f>G35+N35*C35-O35</x:f>
        <x:v>5885100</x:v>
      </x:c>
      <x:c r="Q35" s="12" t="n">
        <x:f>B35*'Scale Inputs'!G5*12+'Scale Inputs'!H5</x:f>
        <x:v>1122000</x:v>
      </x:c>
      <x:c r="R35" s="12" t="n">
        <x:f>Q35*C35</x:f>
        <x:v>5610000</x:v>
      </x:c>
      <x:c r="S35" s="12" t="n">
        <x:f>P35-R35</x:f>
        <x:v>275100</x:v>
      </x:c>
      <x:c r="T35" s="8" t="n">
        <x:f>IF(Q35&lt;=N35,"N/M",(G35-O35)/(Q35-N35))</x:f>
        <x:v>5.578329969727548</x:v>
      </x:c>
      <x:c r="U35" s="8"/>
      <x:c r="V35" s="8"/>
      <x:c r="W35" s="8"/>
      <x:c r="X35" s="8"/>
      <x:c r="Y35" s="8"/>
      <x:c r="Z35" s="8"/>
    </x:row>
    <x:row r="36" ht="15" hidden="0" customHeight="1">
      <x:c r="A36" s="8" t="str">
        <x:f>'Site Inputs'!A4</x:f>
        <x:v>Boise</x:v>
      </x:c>
      <x:c r="B36" s="8" t="n">
        <x:f>'Scale Inputs'!A5</x:f>
        <x:v>250</x:v>
      </x:c>
      <x:c r="C36" s="8" t="n">
        <x:v>10</x:v>
      </x:c>
      <x:c r="D36" s="8" t="n">
        <x:f>'Scale Inputs'!B5</x:f>
        <x:v>9000</x:v>
      </x:c>
      <x:c r="E36" s="12" t="n">
        <x:f>D36*'Site Inputs'!C4</x:f>
        <x:v>1485000</x:v>
      </x:c>
      <x:c r="F36" s="12" t="n">
        <x:f>'Scale Inputs'!C5*'Site Inputs'!H4</x:f>
        <x:v>2760000</x:v>
      </x:c>
      <x:c r="G36" s="12" t="n">
        <x:f>E36+F36</x:f>
        <x:v>4245000</x:v>
      </x:c>
      <x:c r="H36" s="12" t="n">
        <x:f>B36*0.8*8760*'Site Inputs'!E4*'Site Inputs'!D4</x:f>
        <x:v>170820</x:v>
      </x:c>
      <x:c r="I36" s="12" t="n">
        <x:f>'Scale Inputs'!D5*'Site Inputs'!F4*2080*1.4</x:f>
        <x:v>253343.99999999997</x:v>
      </x:c>
      <x:c r="J36" s="12" t="n">
        <x:f>'Scale Inputs'!E5*'Site Inputs'!G4*2080*1.4</x:f>
        <x:v>63335.99999999999</x:v>
      </x:c>
      <x:c r="K36" s="12" t="n">
        <x:f>F36*2.5%</x:f>
        <x:v>69000</x:v>
      </x:c>
      <x:c r="L36" s="12" t="n">
        <x:f>E36*'Site Inputs'!I4</x:f>
        <x:v>17820</x:v>
      </x:c>
      <x:c r="M36" s="12" t="n">
        <x:f>'Scale Inputs'!F5</x:f>
        <x:v>72000</x:v>
      </x:c>
      <x:c r="N36" s="12" t="n">
        <x:f>SUM(H36:M36)</x:f>
        <x:v>646320</x:v>
      </x:c>
      <x:c r="O36" s="12" t="n">
        <x:f>E36*70%+F36*20%</x:f>
        <x:v>1591500</x:v>
      </x:c>
      <x:c r="P36" s="12" t="n">
        <x:f>G36+N36*C36-O36</x:f>
        <x:v>9116700</x:v>
      </x:c>
      <x:c r="Q36" s="12" t="n">
        <x:f>B36*'Scale Inputs'!G5*12+'Scale Inputs'!H5</x:f>
        <x:v>1122000</x:v>
      </x:c>
      <x:c r="R36" s="12" t="n">
        <x:f>Q36*C36</x:f>
        <x:v>11220000</x:v>
      </x:c>
      <x:c r="S36" s="12" t="n">
        <x:f>P36-R36</x:f>
        <x:v>-2103300</x:v>
      </x:c>
      <x:c r="T36" s="8" t="n">
        <x:f>IF(Q36&lt;=N36,"N/M",(G36-O36)/(Q36-N36))</x:f>
        <x:v>5.578329969727548</x:v>
      </x:c>
      <x:c r="U36" s="8"/>
      <x:c r="V36" s="8"/>
      <x:c r="W36" s="8"/>
      <x:c r="X36" s="8"/>
      <x:c r="Y36" s="8"/>
      <x:c r="Z36" s="8"/>
    </x:row>
    <x:row r="37" ht="15" hidden="0" customHeight="1">
      <x:c r="A37" s="8" t="str">
        <x:f>'Site Inputs'!A4</x:f>
        <x:v>Boise</x:v>
      </x:c>
      <x:c r="B37" s="8" t="n">
        <x:f>'Scale Inputs'!A5</x:f>
        <x:v>250</x:v>
      </x:c>
      <x:c r="C37" s="8" t="n">
        <x:v>15</x:v>
      </x:c>
      <x:c r="D37" s="8" t="n">
        <x:f>'Scale Inputs'!B5</x:f>
        <x:v>9000</x:v>
      </x:c>
      <x:c r="E37" s="12" t="n">
        <x:f>D37*'Site Inputs'!C4</x:f>
        <x:v>1485000</x:v>
      </x:c>
      <x:c r="F37" s="12" t="n">
        <x:f>'Scale Inputs'!C5*'Site Inputs'!H4</x:f>
        <x:v>2760000</x:v>
      </x:c>
      <x:c r="G37" s="12" t="n">
        <x:f>E37+F37</x:f>
        <x:v>4245000</x:v>
      </x:c>
      <x:c r="H37" s="12" t="n">
        <x:f>B37*0.8*8760*'Site Inputs'!E4*'Site Inputs'!D4</x:f>
        <x:v>170820</x:v>
      </x:c>
      <x:c r="I37" s="12" t="n">
        <x:f>'Scale Inputs'!D5*'Site Inputs'!F4*2080*1.4</x:f>
        <x:v>253343.99999999997</x:v>
      </x:c>
      <x:c r="J37" s="12" t="n">
        <x:f>'Scale Inputs'!E5*'Site Inputs'!G4*2080*1.4</x:f>
        <x:v>63335.99999999999</x:v>
      </x:c>
      <x:c r="K37" s="12" t="n">
        <x:f>F37*2.5%</x:f>
        <x:v>69000</x:v>
      </x:c>
      <x:c r="L37" s="12" t="n">
        <x:f>E37*'Site Inputs'!I4</x:f>
        <x:v>17820</x:v>
      </x:c>
      <x:c r="M37" s="12" t="n">
        <x:f>'Scale Inputs'!F5</x:f>
        <x:v>72000</x:v>
      </x:c>
      <x:c r="N37" s="12" t="n">
        <x:f>SUM(H37:M37)</x:f>
        <x:v>646320</x:v>
      </x:c>
      <x:c r="O37" s="12" t="n">
        <x:f>E37*70%+F37*20%</x:f>
        <x:v>1591500</x:v>
      </x:c>
      <x:c r="P37" s="12" t="n">
        <x:f>G37+N37*C37-O37</x:f>
        <x:v>12348300</x:v>
      </x:c>
      <x:c r="Q37" s="12" t="n">
        <x:f>B37*'Scale Inputs'!G5*12+'Scale Inputs'!H5</x:f>
        <x:v>1122000</x:v>
      </x:c>
      <x:c r="R37" s="12" t="n">
        <x:f>Q37*C37</x:f>
        <x:v>16830000</x:v>
      </x:c>
      <x:c r="S37" s="12" t="n">
        <x:f>P37-R37</x:f>
        <x:v>-4481700</x:v>
      </x:c>
      <x:c r="T37" s="8" t="n">
        <x:f>IF(Q37&lt;=N37,"N/M",(G37-O37)/(Q37-N37))</x:f>
        <x:v>5.578329969727548</x:v>
      </x:c>
      <x:c r="U37" s="8"/>
      <x:c r="V37" s="8"/>
      <x:c r="W37" s="8"/>
      <x:c r="X37" s="8"/>
      <x:c r="Y37" s="8"/>
      <x:c r="Z37" s="8"/>
    </x:row>
    <x:row r="38" ht="15" hidden="0" customHeight="1">
      <x:c r="A38" s="8" t="str">
        <x:f>'Site Inputs'!A5</x:f>
        <x:v>Las Vegas</x:v>
      </x:c>
      <x:c r="B38" s="8" t="n">
        <x:f>'Scale Inputs'!A2</x:f>
        <x:v>25</x:v>
      </x:c>
      <x:c r="C38" s="8" t="n">
        <x:v>5</x:v>
      </x:c>
      <x:c r="D38" s="8" t="n">
        <x:f>'Scale Inputs'!B2</x:f>
        <x:v>4000</x:v>
      </x:c>
      <x:c r="E38" s="12" t="n">
        <x:f>D38*'Site Inputs'!C5</x:f>
        <x:v>740000</x:v>
      </x:c>
      <x:c r="F38" s="12" t="n">
        <x:f>'Scale Inputs'!C2*'Site Inputs'!H5</x:f>
        <x:v>1122000</x:v>
      </x:c>
      <x:c r="G38" s="12" t="n">
        <x:f>E38+F38</x:f>
        <x:v>1862000</x:v>
      </x:c>
      <x:c r="H38" s="12" t="n">
        <x:f>B38*0.8*8760*'Site Inputs'!E5*'Site Inputs'!D5</x:f>
        <x:v>23652</x:v>
      </x:c>
      <x:c r="I38" s="12" t="n">
        <x:f>'Scale Inputs'!D2*'Site Inputs'!F5*2080*1.4</x:f>
        <x:v>109782.4</x:v>
      </x:c>
      <x:c r="J38" s="12" t="n">
        <x:f>'Scale Inputs'!E2*'Site Inputs'!G5*2080*1.4</x:f>
        <x:v>18513.04</x:v>
      </x:c>
      <x:c r="K38" s="12" t="n">
        <x:f>F38*2.5%</x:f>
        <x:v>28050</x:v>
      </x:c>
      <x:c r="L38" s="12" t="n">
        <x:f>E38*'Site Inputs'!I5</x:f>
        <x:v>8880</x:v>
      </x:c>
      <x:c r="M38" s="12" t="n">
        <x:f>'Scale Inputs'!F2</x:f>
        <x:v>36000</x:v>
      </x:c>
      <x:c r="N38" s="12" t="n">
        <x:f>SUM(H38:M38)</x:f>
        <x:v>224877.44</x:v>
      </x:c>
      <x:c r="O38" s="12" t="n">
        <x:f>E38*70%+F38*20%</x:f>
        <x:v>742400</x:v>
      </x:c>
      <x:c r="P38" s="12" t="n">
        <x:f>G38+N38*C38-O38</x:f>
        <x:v>2243987.2</x:v>
      </x:c>
      <x:c r="Q38" s="12" t="n">
        <x:f>B38*'Scale Inputs'!G2*12+'Scale Inputs'!H2</x:f>
        <x:v>141000</x:v>
      </x:c>
      <x:c r="R38" s="12" t="n">
        <x:f>Q38*C38</x:f>
        <x:v>705000</x:v>
      </x:c>
      <x:c r="S38" s="12" t="n">
        <x:f>P38-R38</x:f>
        <x:v>1538987.2000000002</x:v>
      </x:c>
      <x:c r="T38" s="8" t="str">
        <x:f>IF(Q38&lt;=N38,"N/M",(G38-O38)/(Q38-N38))</x:f>
        <x:v>N/M</x:v>
      </x:c>
      <x:c r="U38" s="8"/>
      <x:c r="V38" s="8"/>
      <x:c r="W38" s="8"/>
      <x:c r="X38" s="8"/>
      <x:c r="Y38" s="8"/>
      <x:c r="Z38" s="8"/>
    </x:row>
    <x:row r="39" ht="15" hidden="0" customHeight="1">
      <x:c r="A39" s="8" t="str">
        <x:f>'Site Inputs'!A5</x:f>
        <x:v>Las Vegas</x:v>
      </x:c>
      <x:c r="B39" s="8" t="n">
        <x:f>'Scale Inputs'!A2</x:f>
        <x:v>25</x:v>
      </x:c>
      <x:c r="C39" s="8" t="n">
        <x:v>10</x:v>
      </x:c>
      <x:c r="D39" s="8" t="n">
        <x:f>'Scale Inputs'!B2</x:f>
        <x:v>4000</x:v>
      </x:c>
      <x:c r="E39" s="12" t="n">
        <x:f>D39*'Site Inputs'!C5</x:f>
        <x:v>740000</x:v>
      </x:c>
      <x:c r="F39" s="12" t="n">
        <x:f>'Scale Inputs'!C2*'Site Inputs'!H5</x:f>
        <x:v>1122000</x:v>
      </x:c>
      <x:c r="G39" s="12" t="n">
        <x:f>E39+F39</x:f>
        <x:v>1862000</x:v>
      </x:c>
      <x:c r="H39" s="12" t="n">
        <x:f>B39*0.8*8760*'Site Inputs'!E5*'Site Inputs'!D5</x:f>
        <x:v>23652</x:v>
      </x:c>
      <x:c r="I39" s="12" t="n">
        <x:f>'Scale Inputs'!D2*'Site Inputs'!F5*2080*1.4</x:f>
        <x:v>109782.4</x:v>
      </x:c>
      <x:c r="J39" s="12" t="n">
        <x:f>'Scale Inputs'!E2*'Site Inputs'!G5*2080*1.4</x:f>
        <x:v>18513.04</x:v>
      </x:c>
      <x:c r="K39" s="12" t="n">
        <x:f>F39*2.5%</x:f>
        <x:v>28050</x:v>
      </x:c>
      <x:c r="L39" s="12" t="n">
        <x:f>E39*'Site Inputs'!I5</x:f>
        <x:v>8880</x:v>
      </x:c>
      <x:c r="M39" s="12" t="n">
        <x:f>'Scale Inputs'!F2</x:f>
        <x:v>36000</x:v>
      </x:c>
      <x:c r="N39" s="12" t="n">
        <x:f>SUM(H39:M39)</x:f>
        <x:v>224877.44</x:v>
      </x:c>
      <x:c r="O39" s="12" t="n">
        <x:f>E39*70%+F39*20%</x:f>
        <x:v>742400</x:v>
      </x:c>
      <x:c r="P39" s="12" t="n">
        <x:f>G39+N39*C39-O39</x:f>
        <x:v>3368374.4</x:v>
      </x:c>
      <x:c r="Q39" s="12" t="n">
        <x:f>B39*'Scale Inputs'!G2*12+'Scale Inputs'!H2</x:f>
        <x:v>141000</x:v>
      </x:c>
      <x:c r="R39" s="12" t="n">
        <x:f>Q39*C39</x:f>
        <x:v>1410000</x:v>
      </x:c>
      <x:c r="S39" s="12" t="n">
        <x:f>P39-R39</x:f>
        <x:v>1958374.4</x:v>
      </x:c>
      <x:c r="T39" s="8" t="str">
        <x:f>IF(Q39&lt;=N39,"N/M",(G39-O39)/(Q39-N39))</x:f>
        <x:v>N/M</x:v>
      </x:c>
      <x:c r="U39" s="8"/>
      <x:c r="V39" s="8"/>
      <x:c r="W39" s="8"/>
      <x:c r="X39" s="8"/>
      <x:c r="Y39" s="8"/>
      <x:c r="Z39" s="8"/>
    </x:row>
    <x:row r="40" ht="15" hidden="0" customHeight="1">
      <x:c r="A40" s="8" t="str">
        <x:f>'Site Inputs'!A5</x:f>
        <x:v>Las Vegas</x:v>
      </x:c>
      <x:c r="B40" s="8" t="n">
        <x:f>'Scale Inputs'!A2</x:f>
        <x:v>25</x:v>
      </x:c>
      <x:c r="C40" s="8" t="n">
        <x:v>15</x:v>
      </x:c>
      <x:c r="D40" s="8" t="n">
        <x:f>'Scale Inputs'!B2</x:f>
        <x:v>4000</x:v>
      </x:c>
      <x:c r="E40" s="12" t="n">
        <x:f>D40*'Site Inputs'!C5</x:f>
        <x:v>740000</x:v>
      </x:c>
      <x:c r="F40" s="12" t="n">
        <x:f>'Scale Inputs'!C2*'Site Inputs'!H5</x:f>
        <x:v>1122000</x:v>
      </x:c>
      <x:c r="G40" s="12" t="n">
        <x:f>E40+F40</x:f>
        <x:v>1862000</x:v>
      </x:c>
      <x:c r="H40" s="12" t="n">
        <x:f>B40*0.8*8760*'Site Inputs'!E5*'Site Inputs'!D5</x:f>
        <x:v>23652</x:v>
      </x:c>
      <x:c r="I40" s="12" t="n">
        <x:f>'Scale Inputs'!D2*'Site Inputs'!F5*2080*1.4</x:f>
        <x:v>109782.4</x:v>
      </x:c>
      <x:c r="J40" s="12" t="n">
        <x:f>'Scale Inputs'!E2*'Site Inputs'!G5*2080*1.4</x:f>
        <x:v>18513.04</x:v>
      </x:c>
      <x:c r="K40" s="12" t="n">
        <x:f>F40*2.5%</x:f>
        <x:v>28050</x:v>
      </x:c>
      <x:c r="L40" s="12" t="n">
        <x:f>E40*'Site Inputs'!I5</x:f>
        <x:v>8880</x:v>
      </x:c>
      <x:c r="M40" s="12" t="n">
        <x:f>'Scale Inputs'!F2</x:f>
        <x:v>36000</x:v>
      </x:c>
      <x:c r="N40" s="12" t="n">
        <x:f>SUM(H40:M40)</x:f>
        <x:v>224877.44</x:v>
      </x:c>
      <x:c r="O40" s="12" t="n">
        <x:f>E40*70%+F40*20%</x:f>
        <x:v>742400</x:v>
      </x:c>
      <x:c r="P40" s="12" t="n">
        <x:f>G40+N40*C40-O40</x:f>
        <x:v>4492761.6</x:v>
      </x:c>
      <x:c r="Q40" s="12" t="n">
        <x:f>B40*'Scale Inputs'!G2*12+'Scale Inputs'!H2</x:f>
        <x:v>141000</x:v>
      </x:c>
      <x:c r="R40" s="12" t="n">
        <x:f>Q40*C40</x:f>
        <x:v>2115000</x:v>
      </x:c>
      <x:c r="S40" s="12" t="n">
        <x:f>P40-R40</x:f>
        <x:v>2377761.5999999996</x:v>
      </x:c>
      <x:c r="T40" s="8" t="str">
        <x:f>IF(Q40&lt;=N40,"N/M",(G40-O40)/(Q40-N40))</x:f>
        <x:v>N/M</x:v>
      </x:c>
      <x:c r="U40" s="8"/>
      <x:c r="V40" s="8"/>
      <x:c r="W40" s="8"/>
      <x:c r="X40" s="8"/>
      <x:c r="Y40" s="8"/>
      <x:c r="Z40" s="8"/>
    </x:row>
    <x:row r="41" ht="15" hidden="0" customHeight="1">
      <x:c r="A41" s="8" t="str">
        <x:f>'Site Inputs'!A5</x:f>
        <x:v>Las Vegas</x:v>
      </x:c>
      <x:c r="B41" s="8" t="n">
        <x:f>'Scale Inputs'!A3</x:f>
        <x:v>50</x:v>
      </x:c>
      <x:c r="C41" s="8" t="n">
        <x:v>5</x:v>
      </x:c>
      <x:c r="D41" s="8" t="n">
        <x:f>'Scale Inputs'!B3</x:f>
        <x:v>5000</x:v>
      </x:c>
      <x:c r="E41" s="12" t="n">
        <x:f>D41*'Site Inputs'!C5</x:f>
        <x:v>925000</x:v>
      </x:c>
      <x:c r="F41" s="12" t="n">
        <x:f>'Scale Inputs'!C3*'Site Inputs'!H5</x:f>
        <x:v>1377000</x:v>
      </x:c>
      <x:c r="G41" s="12" t="n">
        <x:f>E41+F41</x:f>
        <x:v>2302000</x:v>
      </x:c>
      <x:c r="H41" s="12" t="n">
        <x:f>B41*0.8*8760*'Site Inputs'!E5*'Site Inputs'!D5</x:f>
        <x:v>47304</x:v>
      </x:c>
      <x:c r="I41" s="12" t="n">
        <x:f>'Scale Inputs'!D3*'Site Inputs'!F5*2080*1.4</x:f>
        <x:v>131738.87999999998</x:v>
      </x:c>
      <x:c r="J41" s="12" t="n">
        <x:f>'Scale Inputs'!E3*'Site Inputs'!G5*2080*1.4</x:f>
        <x:v>25918.255999999994</x:v>
      </x:c>
      <x:c r="K41" s="12" t="n">
        <x:f>F41*2.5%</x:f>
        <x:v>34425</x:v>
      </x:c>
      <x:c r="L41" s="12" t="n">
        <x:f>E41*'Site Inputs'!I5</x:f>
        <x:v>11100</x:v>
      </x:c>
      <x:c r="M41" s="12" t="n">
        <x:f>'Scale Inputs'!F3</x:f>
        <x:v>42000</x:v>
      </x:c>
      <x:c r="N41" s="12" t="n">
        <x:f>SUM(H41:M41)</x:f>
        <x:v>292486.13599999994</x:v>
      </x:c>
      <x:c r="O41" s="12" t="n">
        <x:f>E41*70%+F41*20%</x:f>
        <x:v>922900</x:v>
      </x:c>
      <x:c r="P41" s="12" t="n">
        <x:f>G41+N41*C41-O41</x:f>
        <x:v>2841530.6799999997</x:v>
      </x:c>
      <x:c r="Q41" s="12" t="n">
        <x:f>B41*'Scale Inputs'!G3*12+'Scale Inputs'!H3</x:f>
        <x:v>246000</x:v>
      </x:c>
      <x:c r="R41" s="12" t="n">
        <x:f>Q41*C41</x:f>
        <x:v>1230000</x:v>
      </x:c>
      <x:c r="S41" s="12" t="n">
        <x:f>P41-R41</x:f>
        <x:v>1611530.6799999997</x:v>
      </x:c>
      <x:c r="T41" s="8" t="str">
        <x:f>IF(Q41&lt;=N41,"N/M",(G41-O41)/(Q41-N41))</x:f>
        <x:v>N/M</x:v>
      </x:c>
      <x:c r="U41" s="8"/>
      <x:c r="V41" s="8"/>
      <x:c r="W41" s="8"/>
      <x:c r="X41" s="8"/>
      <x:c r="Y41" s="8"/>
      <x:c r="Z41" s="8"/>
    </x:row>
    <x:row r="42" ht="15" hidden="0" customHeight="1">
      <x:c r="A42" s="8" t="str">
        <x:f>'Site Inputs'!A5</x:f>
        <x:v>Las Vegas</x:v>
      </x:c>
      <x:c r="B42" s="8" t="n">
        <x:f>'Scale Inputs'!A3</x:f>
        <x:v>50</x:v>
      </x:c>
      <x:c r="C42" s="8" t="n">
        <x:v>10</x:v>
      </x:c>
      <x:c r="D42" s="8" t="n">
        <x:f>'Scale Inputs'!B3</x:f>
        <x:v>5000</x:v>
      </x:c>
      <x:c r="E42" s="12" t="n">
        <x:f>D42*'Site Inputs'!C5</x:f>
        <x:v>925000</x:v>
      </x:c>
      <x:c r="F42" s="12" t="n">
        <x:f>'Scale Inputs'!C3*'Site Inputs'!H5</x:f>
        <x:v>1377000</x:v>
      </x:c>
      <x:c r="G42" s="12" t="n">
        <x:f>E42+F42</x:f>
        <x:v>2302000</x:v>
      </x:c>
      <x:c r="H42" s="12" t="n">
        <x:f>B42*0.8*8760*'Site Inputs'!E5*'Site Inputs'!D5</x:f>
        <x:v>47304</x:v>
      </x:c>
      <x:c r="I42" s="12" t="n">
        <x:f>'Scale Inputs'!D3*'Site Inputs'!F5*2080*1.4</x:f>
        <x:v>131738.87999999998</x:v>
      </x:c>
      <x:c r="J42" s="12" t="n">
        <x:f>'Scale Inputs'!E3*'Site Inputs'!G5*2080*1.4</x:f>
        <x:v>25918.255999999994</x:v>
      </x:c>
      <x:c r="K42" s="12" t="n">
        <x:f>F42*2.5%</x:f>
        <x:v>34425</x:v>
      </x:c>
      <x:c r="L42" s="12" t="n">
        <x:f>E42*'Site Inputs'!I5</x:f>
        <x:v>11100</x:v>
      </x:c>
      <x:c r="M42" s="12" t="n">
        <x:f>'Scale Inputs'!F3</x:f>
        <x:v>42000</x:v>
      </x:c>
      <x:c r="N42" s="12" t="n">
        <x:f>SUM(H42:M42)</x:f>
        <x:v>292486.13599999994</x:v>
      </x:c>
      <x:c r="O42" s="12" t="n">
        <x:f>E42*70%+F42*20%</x:f>
        <x:v>922900</x:v>
      </x:c>
      <x:c r="P42" s="12" t="n">
        <x:f>G42+N42*C42-O42</x:f>
        <x:v>4303961.359999999</x:v>
      </x:c>
      <x:c r="Q42" s="12" t="n">
        <x:f>B42*'Scale Inputs'!G3*12+'Scale Inputs'!H3</x:f>
        <x:v>246000</x:v>
      </x:c>
      <x:c r="R42" s="12" t="n">
        <x:f>Q42*C42</x:f>
        <x:v>2460000</x:v>
      </x:c>
      <x:c r="S42" s="12" t="n">
        <x:f>P42-R42</x:f>
        <x:v>1843961.3599999994</x:v>
      </x:c>
      <x:c r="T42" s="8" t="str">
        <x:f>IF(Q42&lt;=N42,"N/M",(G42-O42)/(Q42-N42))</x:f>
        <x:v>N/M</x:v>
      </x:c>
      <x:c r="U42" s="8"/>
      <x:c r="V42" s="8"/>
      <x:c r="W42" s="8"/>
      <x:c r="X42" s="8"/>
      <x:c r="Y42" s="8"/>
      <x:c r="Z42" s="8"/>
    </x:row>
    <x:row r="43" ht="15" hidden="0" customHeight="1">
      <x:c r="A43" s="8" t="str">
        <x:f>'Site Inputs'!A5</x:f>
        <x:v>Las Vegas</x:v>
      </x:c>
      <x:c r="B43" s="8" t="n">
        <x:f>'Scale Inputs'!A3</x:f>
        <x:v>50</x:v>
      </x:c>
      <x:c r="C43" s="8" t="n">
        <x:v>15</x:v>
      </x:c>
      <x:c r="D43" s="8" t="n">
        <x:f>'Scale Inputs'!B3</x:f>
        <x:v>5000</x:v>
      </x:c>
      <x:c r="E43" s="12" t="n">
        <x:f>D43*'Site Inputs'!C5</x:f>
        <x:v>925000</x:v>
      </x:c>
      <x:c r="F43" s="12" t="n">
        <x:f>'Scale Inputs'!C3*'Site Inputs'!H5</x:f>
        <x:v>1377000</x:v>
      </x:c>
      <x:c r="G43" s="12" t="n">
        <x:f>E43+F43</x:f>
        <x:v>2302000</x:v>
      </x:c>
      <x:c r="H43" s="12" t="n">
        <x:f>B43*0.8*8760*'Site Inputs'!E5*'Site Inputs'!D5</x:f>
        <x:v>47304</x:v>
      </x:c>
      <x:c r="I43" s="12" t="n">
        <x:f>'Scale Inputs'!D3*'Site Inputs'!F5*2080*1.4</x:f>
        <x:v>131738.87999999998</x:v>
      </x:c>
      <x:c r="J43" s="12" t="n">
        <x:f>'Scale Inputs'!E3*'Site Inputs'!G5*2080*1.4</x:f>
        <x:v>25918.255999999994</x:v>
      </x:c>
      <x:c r="K43" s="12" t="n">
        <x:f>F43*2.5%</x:f>
        <x:v>34425</x:v>
      </x:c>
      <x:c r="L43" s="12" t="n">
        <x:f>E43*'Site Inputs'!I5</x:f>
        <x:v>11100</x:v>
      </x:c>
      <x:c r="M43" s="12" t="n">
        <x:f>'Scale Inputs'!F3</x:f>
        <x:v>42000</x:v>
      </x:c>
      <x:c r="N43" s="12" t="n">
        <x:f>SUM(H43:M43)</x:f>
        <x:v>292486.13599999994</x:v>
      </x:c>
      <x:c r="O43" s="12" t="n">
        <x:f>E43*70%+F43*20%</x:f>
        <x:v>922900</x:v>
      </x:c>
      <x:c r="P43" s="12" t="n">
        <x:f>G43+N43*C43-O43</x:f>
        <x:v>5766392.039999999</x:v>
      </x:c>
      <x:c r="Q43" s="12" t="n">
        <x:f>B43*'Scale Inputs'!G3*12+'Scale Inputs'!H3</x:f>
        <x:v>246000</x:v>
      </x:c>
      <x:c r="R43" s="12" t="n">
        <x:f>Q43*C43</x:f>
        <x:v>3690000</x:v>
      </x:c>
      <x:c r="S43" s="12" t="n">
        <x:f>P43-R43</x:f>
        <x:v>2076392.039999999</x:v>
      </x:c>
      <x:c r="T43" s="8" t="str">
        <x:f>IF(Q43&lt;=N43,"N/M",(G43-O43)/(Q43-N43))</x:f>
        <x:v>N/M</x:v>
      </x:c>
      <x:c r="U43" s="8"/>
      <x:c r="V43" s="8"/>
      <x:c r="W43" s="8"/>
      <x:c r="X43" s="8"/>
      <x:c r="Y43" s="8"/>
      <x:c r="Z43" s="8"/>
    </x:row>
    <x:row r="44" ht="15" hidden="0" customHeight="1">
      <x:c r="A44" s="8" t="str">
        <x:f>'Site Inputs'!A5</x:f>
        <x:v>Las Vegas</x:v>
      </x:c>
      <x:c r="B44" s="8" t="n">
        <x:f>'Scale Inputs'!A4</x:f>
        <x:v>100</x:v>
      </x:c>
      <x:c r="C44" s="8" t="n">
        <x:v>5</x:v>
      </x:c>
      <x:c r="D44" s="8" t="n">
        <x:f>'Scale Inputs'!B4</x:f>
        <x:v>6000</x:v>
      </x:c>
      <x:c r="E44" s="12" t="n">
        <x:f>D44*'Site Inputs'!C5</x:f>
        <x:v>1110000</x:v>
      </x:c>
      <x:c r="F44" s="12" t="n">
        <x:f>'Scale Inputs'!C4*'Site Inputs'!H5</x:f>
        <x:v>1836000</x:v>
      </x:c>
      <x:c r="G44" s="12" t="n">
        <x:f>E44+F44</x:f>
        <x:v>2946000</x:v>
      </x:c>
      <x:c r="H44" s="12" t="n">
        <x:f>B44*0.8*8760*'Site Inputs'!E5*'Site Inputs'!D5</x:f>
        <x:v>94608</x:v>
      </x:c>
      <x:c r="I44" s="12" t="n">
        <x:f>'Scale Inputs'!D4*'Site Inputs'!F5*2080*1.4</x:f>
        <x:v>175651.84</x:v>
      </x:c>
      <x:c r="J44" s="12" t="n">
        <x:f>'Scale Inputs'!E4*'Site Inputs'!G5*2080*1.4</x:f>
        <x:v>37026.08</x:v>
      </x:c>
      <x:c r="K44" s="12" t="n">
        <x:f>F44*2.5%</x:f>
        <x:v>45900</x:v>
      </x:c>
      <x:c r="L44" s="12" t="n">
        <x:f>E44*'Site Inputs'!I5</x:f>
        <x:v>13320</x:v>
      </x:c>
      <x:c r="M44" s="12" t="n">
        <x:f>'Scale Inputs'!F4</x:f>
        <x:v>54000</x:v>
      </x:c>
      <x:c r="N44" s="12" t="n">
        <x:f>SUM(H44:M44)</x:f>
        <x:v>420505.92</x:v>
      </x:c>
      <x:c r="O44" s="12" t="n">
        <x:f>E44*70%+F44*20%</x:f>
        <x:v>1144200</x:v>
      </x:c>
      <x:c r="P44" s="12" t="n">
        <x:f>G44+N44*C44-O44</x:f>
        <x:v>3904329.5999999996</x:v>
      </x:c>
      <x:c r="Q44" s="12" t="n">
        <x:f>B44*'Scale Inputs'!G4*12+'Scale Inputs'!H4</x:f>
        <x:v>474000</x:v>
      </x:c>
      <x:c r="R44" s="12" t="n">
        <x:f>Q44*C44</x:f>
        <x:v>2370000</x:v>
      </x:c>
      <x:c r="S44" s="12" t="n">
        <x:f>P44-R44</x:f>
        <x:v>1534329.5999999996</x:v>
      </x:c>
      <x:c r="T44" s="8" t="n">
        <x:f>IF(Q44&lt;=N44,"N/M",(G44-O44)/(Q44-N44))</x:f>
        <x:v>33.68223175349495</x:v>
      </x:c>
      <x:c r="U44" s="8"/>
      <x:c r="V44" s="8"/>
      <x:c r="W44" s="8"/>
      <x:c r="X44" s="8"/>
      <x:c r="Y44" s="8"/>
      <x:c r="Z44" s="8"/>
    </x:row>
    <x:row r="45" ht="15" hidden="0" customHeight="1">
      <x:c r="A45" s="8" t="str">
        <x:f>'Site Inputs'!A5</x:f>
        <x:v>Las Vegas</x:v>
      </x:c>
      <x:c r="B45" s="8" t="n">
        <x:f>'Scale Inputs'!A4</x:f>
        <x:v>100</x:v>
      </x:c>
      <x:c r="C45" s="8" t="n">
        <x:v>10</x:v>
      </x:c>
      <x:c r="D45" s="8" t="n">
        <x:f>'Scale Inputs'!B4</x:f>
        <x:v>6000</x:v>
      </x:c>
      <x:c r="E45" s="12" t="n">
        <x:f>D45*'Site Inputs'!C5</x:f>
        <x:v>1110000</x:v>
      </x:c>
      <x:c r="F45" s="12" t="n">
        <x:f>'Scale Inputs'!C4*'Site Inputs'!H5</x:f>
        <x:v>1836000</x:v>
      </x:c>
      <x:c r="G45" s="12" t="n">
        <x:f>E45+F45</x:f>
        <x:v>2946000</x:v>
      </x:c>
      <x:c r="H45" s="12" t="n">
        <x:f>B45*0.8*8760*'Site Inputs'!E5*'Site Inputs'!D5</x:f>
        <x:v>94608</x:v>
      </x:c>
      <x:c r="I45" s="12" t="n">
        <x:f>'Scale Inputs'!D4*'Site Inputs'!F5*2080*1.4</x:f>
        <x:v>175651.84</x:v>
      </x:c>
      <x:c r="J45" s="12" t="n">
        <x:f>'Scale Inputs'!E4*'Site Inputs'!G5*2080*1.4</x:f>
        <x:v>37026.08</x:v>
      </x:c>
      <x:c r="K45" s="12" t="n">
        <x:f>F45*2.5%</x:f>
        <x:v>45900</x:v>
      </x:c>
      <x:c r="L45" s="12" t="n">
        <x:f>E45*'Site Inputs'!I5</x:f>
        <x:v>13320</x:v>
      </x:c>
      <x:c r="M45" s="12" t="n">
        <x:f>'Scale Inputs'!F4</x:f>
        <x:v>54000</x:v>
      </x:c>
      <x:c r="N45" s="12" t="n">
        <x:f>SUM(H45:M45)</x:f>
        <x:v>420505.92</x:v>
      </x:c>
      <x:c r="O45" s="12" t="n">
        <x:f>E45*70%+F45*20%</x:f>
        <x:v>1144200</x:v>
      </x:c>
      <x:c r="P45" s="12" t="n">
        <x:f>G45+N45*C45-O45</x:f>
        <x:v>6006859.2</x:v>
      </x:c>
      <x:c r="Q45" s="12" t="n">
        <x:f>B45*'Scale Inputs'!G4*12+'Scale Inputs'!H4</x:f>
        <x:v>474000</x:v>
      </x:c>
      <x:c r="R45" s="12" t="n">
        <x:f>Q45*C45</x:f>
        <x:v>4740000</x:v>
      </x:c>
      <x:c r="S45" s="12" t="n">
        <x:f>P45-R45</x:f>
        <x:v>1266859.2000000002</x:v>
      </x:c>
      <x:c r="T45" s="8" t="n">
        <x:f>IF(Q45&lt;=N45,"N/M",(G45-O45)/(Q45-N45))</x:f>
        <x:v>33.68223175349495</x:v>
      </x:c>
      <x:c r="U45" s="8"/>
      <x:c r="V45" s="8"/>
      <x:c r="W45" s="8"/>
      <x:c r="X45" s="8"/>
      <x:c r="Y45" s="8"/>
      <x:c r="Z45" s="8"/>
    </x:row>
    <x:row r="46" ht="15" hidden="0" customHeight="1">
      <x:c r="A46" s="8" t="str">
        <x:f>'Site Inputs'!A5</x:f>
        <x:v>Las Vegas</x:v>
      </x:c>
      <x:c r="B46" s="8" t="n">
        <x:f>'Scale Inputs'!A4</x:f>
        <x:v>100</x:v>
      </x:c>
      <x:c r="C46" s="8" t="n">
        <x:v>15</x:v>
      </x:c>
      <x:c r="D46" s="8" t="n">
        <x:f>'Scale Inputs'!B4</x:f>
        <x:v>6000</x:v>
      </x:c>
      <x:c r="E46" s="12" t="n">
        <x:f>D46*'Site Inputs'!C5</x:f>
        <x:v>1110000</x:v>
      </x:c>
      <x:c r="F46" s="12" t="n">
        <x:f>'Scale Inputs'!C4*'Site Inputs'!H5</x:f>
        <x:v>1836000</x:v>
      </x:c>
      <x:c r="G46" s="12" t="n">
        <x:f>E46+F46</x:f>
        <x:v>2946000</x:v>
      </x:c>
      <x:c r="H46" s="12" t="n">
        <x:f>B46*0.8*8760*'Site Inputs'!E5*'Site Inputs'!D5</x:f>
        <x:v>94608</x:v>
      </x:c>
      <x:c r="I46" s="12" t="n">
        <x:f>'Scale Inputs'!D4*'Site Inputs'!F5*2080*1.4</x:f>
        <x:v>175651.84</x:v>
      </x:c>
      <x:c r="J46" s="12" t="n">
        <x:f>'Scale Inputs'!E4*'Site Inputs'!G5*2080*1.4</x:f>
        <x:v>37026.08</x:v>
      </x:c>
      <x:c r="K46" s="12" t="n">
        <x:f>F46*2.5%</x:f>
        <x:v>45900</x:v>
      </x:c>
      <x:c r="L46" s="12" t="n">
        <x:f>E46*'Site Inputs'!I5</x:f>
        <x:v>13320</x:v>
      </x:c>
      <x:c r="M46" s="12" t="n">
        <x:f>'Scale Inputs'!F4</x:f>
        <x:v>54000</x:v>
      </x:c>
      <x:c r="N46" s="12" t="n">
        <x:f>SUM(H46:M46)</x:f>
        <x:v>420505.92</x:v>
      </x:c>
      <x:c r="O46" s="12" t="n">
        <x:f>E46*70%+F46*20%</x:f>
        <x:v>1144200</x:v>
      </x:c>
      <x:c r="P46" s="12" t="n">
        <x:f>G46+N46*C46-O46</x:f>
        <x:v>8109388.800000001</x:v>
      </x:c>
      <x:c r="Q46" s="12" t="n">
        <x:f>B46*'Scale Inputs'!G4*12+'Scale Inputs'!H4</x:f>
        <x:v>474000</x:v>
      </x:c>
      <x:c r="R46" s="12" t="n">
        <x:f>Q46*C46</x:f>
        <x:v>7110000</x:v>
      </x:c>
      <x:c r="S46" s="12" t="n">
        <x:f>P46-R46</x:f>
        <x:v>999388.8000000007</x:v>
      </x:c>
      <x:c r="T46" s="8" t="n">
        <x:f>IF(Q46&lt;=N46,"N/M",(G46-O46)/(Q46-N46))</x:f>
        <x:v>33.68223175349495</x:v>
      </x:c>
      <x:c r="U46" s="8"/>
      <x:c r="V46" s="8"/>
      <x:c r="W46" s="8"/>
      <x:c r="X46" s="8"/>
      <x:c r="Y46" s="8"/>
      <x:c r="Z46" s="8"/>
    </x:row>
    <x:row r="47" ht="15" hidden="0" customHeight="1">
      <x:c r="A47" s="8" t="str">
        <x:f>'Site Inputs'!A5</x:f>
        <x:v>Las Vegas</x:v>
      </x:c>
      <x:c r="B47" s="8" t="n">
        <x:f>'Scale Inputs'!A5</x:f>
        <x:v>250</x:v>
      </x:c>
      <x:c r="C47" s="8" t="n">
        <x:v>5</x:v>
      </x:c>
      <x:c r="D47" s="8" t="n">
        <x:f>'Scale Inputs'!B5</x:f>
        <x:v>9000</x:v>
      </x:c>
      <x:c r="E47" s="12" t="n">
        <x:f>D47*'Site Inputs'!C5</x:f>
        <x:v>1665000</x:v>
      </x:c>
      <x:c r="F47" s="12" t="n">
        <x:f>'Scale Inputs'!C5*'Site Inputs'!H5</x:f>
        <x:v>3060000</x:v>
      </x:c>
      <x:c r="G47" s="12" t="n">
        <x:f>E47+F47</x:f>
        <x:v>4725000</x:v>
      </x:c>
      <x:c r="H47" s="12" t="n">
        <x:f>B47*0.8*8760*'Site Inputs'!E5*'Site Inputs'!D5</x:f>
        <x:v>236520</x:v>
      </x:c>
      <x:c r="I47" s="12" t="n">
        <x:f>'Scale Inputs'!D5*'Site Inputs'!F5*2080*1.4</x:f>
        <x:v>263477.75999999995</x:v>
      </x:c>
      <x:c r="J47" s="12" t="n">
        <x:f>'Scale Inputs'!E5*'Site Inputs'!G5*2080*1.4</x:f>
        <x:v>55539.11999999999</x:v>
      </x:c>
      <x:c r="K47" s="12" t="n">
        <x:f>F47*2.5%</x:f>
        <x:v>76500</x:v>
      </x:c>
      <x:c r="L47" s="12" t="n">
        <x:f>E47*'Site Inputs'!I5</x:f>
        <x:v>19980</x:v>
      </x:c>
      <x:c r="M47" s="12" t="n">
        <x:f>'Scale Inputs'!F5</x:f>
        <x:v>72000</x:v>
      </x:c>
      <x:c r="N47" s="12" t="n">
        <x:f>SUM(H47:M47)</x:f>
        <x:v>724016.8799999999</x:v>
      </x:c>
      <x:c r="O47" s="12" t="n">
        <x:f>E47*70%+F47*20%</x:f>
        <x:v>1777500</x:v>
      </x:c>
      <x:c r="P47" s="12" t="n">
        <x:f>G47+N47*C47-O47</x:f>
        <x:v>6567584.399999999</x:v>
      </x:c>
      <x:c r="Q47" s="12" t="n">
        <x:f>B47*'Scale Inputs'!G5*12+'Scale Inputs'!H5</x:f>
        <x:v>1122000</x:v>
      </x:c>
      <x:c r="R47" s="12" t="n">
        <x:f>Q47*C47</x:f>
        <x:v>5610000</x:v>
      </x:c>
      <x:c r="S47" s="12" t="n">
        <x:f>P47-R47</x:f>
        <x:v>957584.3999999994</x:v>
      </x:c>
      <x:c r="T47" s="8" t="n">
        <x:f>IF(Q47&lt;=N47,"N/M",(G47-O47)/(Q47-N47))</x:f>
        <x:v>7.406093002135365</x:v>
      </x:c>
      <x:c r="U47" s="8"/>
      <x:c r="V47" s="8"/>
      <x:c r="W47" s="8"/>
      <x:c r="X47" s="8"/>
      <x:c r="Y47" s="8"/>
      <x:c r="Z47" s="8"/>
    </x:row>
    <x:row r="48" ht="15" hidden="0" customHeight="1">
      <x:c r="A48" s="8" t="str">
        <x:f>'Site Inputs'!A5</x:f>
        <x:v>Las Vegas</x:v>
      </x:c>
      <x:c r="B48" s="8" t="n">
        <x:f>'Scale Inputs'!A5</x:f>
        <x:v>250</x:v>
      </x:c>
      <x:c r="C48" s="8" t="n">
        <x:v>10</x:v>
      </x:c>
      <x:c r="D48" s="8" t="n">
        <x:f>'Scale Inputs'!B5</x:f>
        <x:v>9000</x:v>
      </x:c>
      <x:c r="E48" s="12" t="n">
        <x:f>D48*'Site Inputs'!C5</x:f>
        <x:v>1665000</x:v>
      </x:c>
      <x:c r="F48" s="12" t="n">
        <x:f>'Scale Inputs'!C5*'Site Inputs'!H5</x:f>
        <x:v>3060000</x:v>
      </x:c>
      <x:c r="G48" s="12" t="n">
        <x:f>E48+F48</x:f>
        <x:v>4725000</x:v>
      </x:c>
      <x:c r="H48" s="12" t="n">
        <x:f>B48*0.8*8760*'Site Inputs'!E5*'Site Inputs'!D5</x:f>
        <x:v>236520</x:v>
      </x:c>
      <x:c r="I48" s="12" t="n">
        <x:f>'Scale Inputs'!D5*'Site Inputs'!F5*2080*1.4</x:f>
        <x:v>263477.75999999995</x:v>
      </x:c>
      <x:c r="J48" s="12" t="n">
        <x:f>'Scale Inputs'!E5*'Site Inputs'!G5*2080*1.4</x:f>
        <x:v>55539.11999999999</x:v>
      </x:c>
      <x:c r="K48" s="12" t="n">
        <x:f>F48*2.5%</x:f>
        <x:v>76500</x:v>
      </x:c>
      <x:c r="L48" s="12" t="n">
        <x:f>E48*'Site Inputs'!I5</x:f>
        <x:v>19980</x:v>
      </x:c>
      <x:c r="M48" s="12" t="n">
        <x:f>'Scale Inputs'!F5</x:f>
        <x:v>72000</x:v>
      </x:c>
      <x:c r="N48" s="12" t="n">
        <x:f>SUM(H48:M48)</x:f>
        <x:v>724016.8799999999</x:v>
      </x:c>
      <x:c r="O48" s="12" t="n">
        <x:f>E48*70%+F48*20%</x:f>
        <x:v>1777500</x:v>
      </x:c>
      <x:c r="P48" s="12" t="n">
        <x:f>G48+N48*C48-O48</x:f>
        <x:v>10187668.799999999</x:v>
      </x:c>
      <x:c r="Q48" s="12" t="n">
        <x:f>B48*'Scale Inputs'!G5*12+'Scale Inputs'!H5</x:f>
        <x:v>1122000</x:v>
      </x:c>
      <x:c r="R48" s="12" t="n">
        <x:f>Q48*C48</x:f>
        <x:v>11220000</x:v>
      </x:c>
      <x:c r="S48" s="12" t="n">
        <x:f>P48-R48</x:f>
        <x:v>-1032331.2000000011</x:v>
      </x:c>
      <x:c r="T48" s="8" t="n">
        <x:f>IF(Q48&lt;=N48,"N/M",(G48-O48)/(Q48-N48))</x:f>
        <x:v>7.406093002135365</x:v>
      </x:c>
      <x:c r="U48" s="8"/>
      <x:c r="V48" s="8"/>
      <x:c r="W48" s="8"/>
      <x:c r="X48" s="8"/>
      <x:c r="Y48" s="8"/>
      <x:c r="Z48" s="8"/>
    </x:row>
    <x:row r="49" ht="15" hidden="0" customHeight="1">
      <x:c r="A49" s="8" t="str">
        <x:f>'Site Inputs'!A5</x:f>
        <x:v>Las Vegas</x:v>
      </x:c>
      <x:c r="B49" s="8" t="n">
        <x:f>'Scale Inputs'!A5</x:f>
        <x:v>250</x:v>
      </x:c>
      <x:c r="C49" s="8" t="n">
        <x:v>15</x:v>
      </x:c>
      <x:c r="D49" s="8" t="n">
        <x:f>'Scale Inputs'!B5</x:f>
        <x:v>9000</x:v>
      </x:c>
      <x:c r="E49" s="12" t="n">
        <x:f>D49*'Site Inputs'!C5</x:f>
        <x:v>1665000</x:v>
      </x:c>
      <x:c r="F49" s="12" t="n">
        <x:f>'Scale Inputs'!C5*'Site Inputs'!H5</x:f>
        <x:v>3060000</x:v>
      </x:c>
      <x:c r="G49" s="12" t="n">
        <x:f>E49+F49</x:f>
        <x:v>4725000</x:v>
      </x:c>
      <x:c r="H49" s="12" t="n">
        <x:f>B49*0.8*8760*'Site Inputs'!E5*'Site Inputs'!D5</x:f>
        <x:v>236520</x:v>
      </x:c>
      <x:c r="I49" s="12" t="n">
        <x:f>'Scale Inputs'!D5*'Site Inputs'!F5*2080*1.4</x:f>
        <x:v>263477.75999999995</x:v>
      </x:c>
      <x:c r="J49" s="12" t="n">
        <x:f>'Scale Inputs'!E5*'Site Inputs'!G5*2080*1.4</x:f>
        <x:v>55539.11999999999</x:v>
      </x:c>
      <x:c r="K49" s="12" t="n">
        <x:f>F49*2.5%</x:f>
        <x:v>76500</x:v>
      </x:c>
      <x:c r="L49" s="12" t="n">
        <x:f>E49*'Site Inputs'!I5</x:f>
        <x:v>19980</x:v>
      </x:c>
      <x:c r="M49" s="12" t="n">
        <x:f>'Scale Inputs'!F5</x:f>
        <x:v>72000</x:v>
      </x:c>
      <x:c r="N49" s="12" t="n">
        <x:f>SUM(H49:M49)</x:f>
        <x:v>724016.8799999999</x:v>
      </x:c>
      <x:c r="O49" s="12" t="n">
        <x:f>E49*70%+F49*20%</x:f>
        <x:v>1777500</x:v>
      </x:c>
      <x:c r="P49" s="12" t="n">
        <x:f>G49+N49*C49-O49</x:f>
        <x:v>13807753.2</x:v>
      </x:c>
      <x:c r="Q49" s="12" t="n">
        <x:f>B49*'Scale Inputs'!G5*12+'Scale Inputs'!H5</x:f>
        <x:v>1122000</x:v>
      </x:c>
      <x:c r="R49" s="12" t="n">
        <x:f>Q49*C49</x:f>
        <x:v>16830000</x:v>
      </x:c>
      <x:c r="S49" s="12" t="n">
        <x:f>P49-R49</x:f>
        <x:v>-3022246.8000000007</x:v>
      </x:c>
      <x:c r="T49" s="8" t="n">
        <x:f>IF(Q49&lt;=N49,"N/M",(G49-O49)/(Q49-N49))</x:f>
        <x:v>7.406093002135365</x:v>
      </x:c>
      <x:c r="U49" s="8"/>
      <x:c r="V49" s="8"/>
      <x:c r="W49" s="8"/>
      <x:c r="X49" s="8"/>
      <x:c r="Y49" s="8"/>
      <x:c r="Z49" s="8"/>
    </x:row>
    <x:row r="50" ht="15" hidden="0" customHeight="1">
      <x:c r="A50" s="8" t="str">
        <x:f>'Site Inputs'!A6</x:f>
        <x:v>Salt Lake City</x:v>
      </x:c>
      <x:c r="B50" s="8" t="n">
        <x:f>'Scale Inputs'!A2</x:f>
        <x:v>25</x:v>
      </x:c>
      <x:c r="C50" s="8" t="n">
        <x:v>5</x:v>
      </x:c>
      <x:c r="D50" s="8" t="n">
        <x:f>'Scale Inputs'!B2</x:f>
        <x:v>4000</x:v>
      </x:c>
      <x:c r="E50" s="12" t="n">
        <x:f>D50*'Site Inputs'!C6</x:f>
        <x:v>720000</x:v>
      </x:c>
      <x:c r="F50" s="12" t="n">
        <x:f>'Scale Inputs'!C2*'Site Inputs'!H6</x:f>
        <x:v>1078000</x:v>
      </x:c>
      <x:c r="G50" s="12" t="n">
        <x:f>E50+F50</x:f>
        <x:v>1798000</x:v>
      </x:c>
      <x:c r="H50" s="12" t="n">
        <x:f>B50*0.8*8760*'Site Inputs'!E6*'Site Inputs'!D6</x:f>
        <x:v>18921.600000000002</x:v>
      </x:c>
      <x:c r="I50" s="12" t="n">
        <x:f>'Scale Inputs'!D2*'Site Inputs'!F6*2080*1.4</x:f>
        <x:v>111420.4</x:v>
      </x:c>
      <x:c r="J50" s="12" t="n">
        <x:f>'Scale Inputs'!E2*'Site Inputs'!G6*2080*1.4</x:f>
        <x:v>21556.079999999998</x:v>
      </x:c>
      <x:c r="K50" s="12" t="n">
        <x:f>F50*2.5%</x:f>
        <x:v>26950</x:v>
      </x:c>
      <x:c r="L50" s="12" t="n">
        <x:f>E50*'Site Inputs'!I6</x:f>
        <x:v>8640</x:v>
      </x:c>
      <x:c r="M50" s="12" t="n">
        <x:f>'Scale Inputs'!F2</x:f>
        <x:v>36000</x:v>
      </x:c>
      <x:c r="N50" s="12" t="n">
        <x:f>SUM(H50:M50)</x:f>
        <x:v>223488.08</x:v>
      </x:c>
      <x:c r="O50" s="12" t="n">
        <x:f>E50*70%+F50*20%</x:f>
        <x:v>719600</x:v>
      </x:c>
      <x:c r="P50" s="12" t="n">
        <x:f>G50+N50*C50-O50</x:f>
        <x:v>2195840.4</x:v>
      </x:c>
      <x:c r="Q50" s="12" t="n">
        <x:f>B50*'Scale Inputs'!G2*12+'Scale Inputs'!H2</x:f>
        <x:v>141000</x:v>
      </x:c>
      <x:c r="R50" s="12" t="n">
        <x:f>Q50*C50</x:f>
        <x:v>705000</x:v>
      </x:c>
      <x:c r="S50" s="12" t="n">
        <x:f>P50-R50</x:f>
        <x:v>1490840.4</x:v>
      </x:c>
      <x:c r="T50" s="8" t="str">
        <x:f>IF(Q50&lt;=N50,"N/M",(G50-O50)/(Q50-N50))</x:f>
        <x:v>N/M</x:v>
      </x:c>
      <x:c r="U50" s="8"/>
      <x:c r="V50" s="8"/>
      <x:c r="W50" s="8"/>
      <x:c r="X50" s="8"/>
      <x:c r="Y50" s="8"/>
      <x:c r="Z50" s="8"/>
    </x:row>
    <x:row r="51" ht="15" hidden="0" customHeight="1">
      <x:c r="A51" s="8" t="str">
        <x:f>'Site Inputs'!A6</x:f>
        <x:v>Salt Lake City</x:v>
      </x:c>
      <x:c r="B51" s="8" t="n">
        <x:f>'Scale Inputs'!A2</x:f>
        <x:v>25</x:v>
      </x:c>
      <x:c r="C51" s="8" t="n">
        <x:v>10</x:v>
      </x:c>
      <x:c r="D51" s="8" t="n">
        <x:f>'Scale Inputs'!B2</x:f>
        <x:v>4000</x:v>
      </x:c>
      <x:c r="E51" s="12" t="n">
        <x:f>D51*'Site Inputs'!C6</x:f>
        <x:v>720000</x:v>
      </x:c>
      <x:c r="F51" s="12" t="n">
        <x:f>'Scale Inputs'!C2*'Site Inputs'!H6</x:f>
        <x:v>1078000</x:v>
      </x:c>
      <x:c r="G51" s="12" t="n">
        <x:f>E51+F51</x:f>
        <x:v>1798000</x:v>
      </x:c>
      <x:c r="H51" s="12" t="n">
        <x:f>B51*0.8*8760*'Site Inputs'!E6*'Site Inputs'!D6</x:f>
        <x:v>18921.600000000002</x:v>
      </x:c>
      <x:c r="I51" s="12" t="n">
        <x:f>'Scale Inputs'!D2*'Site Inputs'!F6*2080*1.4</x:f>
        <x:v>111420.4</x:v>
      </x:c>
      <x:c r="J51" s="12" t="n">
        <x:f>'Scale Inputs'!E2*'Site Inputs'!G6*2080*1.4</x:f>
        <x:v>21556.079999999998</x:v>
      </x:c>
      <x:c r="K51" s="12" t="n">
        <x:f>F51*2.5%</x:f>
        <x:v>26950</x:v>
      </x:c>
      <x:c r="L51" s="12" t="n">
        <x:f>E51*'Site Inputs'!I6</x:f>
        <x:v>8640</x:v>
      </x:c>
      <x:c r="M51" s="12" t="n">
        <x:f>'Scale Inputs'!F2</x:f>
        <x:v>36000</x:v>
      </x:c>
      <x:c r="N51" s="12" t="n">
        <x:f>SUM(H51:M51)</x:f>
        <x:v>223488.08</x:v>
      </x:c>
      <x:c r="O51" s="12" t="n">
        <x:f>E51*70%+F51*20%</x:f>
        <x:v>719600</x:v>
      </x:c>
      <x:c r="P51" s="12" t="n">
        <x:f>G51+N51*C51-O51</x:f>
        <x:v>3313280.8</x:v>
      </x:c>
      <x:c r="Q51" s="12" t="n">
        <x:f>B51*'Scale Inputs'!G2*12+'Scale Inputs'!H2</x:f>
        <x:v>141000</x:v>
      </x:c>
      <x:c r="R51" s="12" t="n">
        <x:f>Q51*C51</x:f>
        <x:v>1410000</x:v>
      </x:c>
      <x:c r="S51" s="12" t="n">
        <x:f>P51-R51</x:f>
        <x:v>1903280.7999999998</x:v>
      </x:c>
      <x:c r="T51" s="8" t="str">
        <x:f>IF(Q51&lt;=N51,"N/M",(G51-O51)/(Q51-N51))</x:f>
        <x:v>N/M</x:v>
      </x:c>
      <x:c r="U51" s="8"/>
      <x:c r="V51" s="8"/>
      <x:c r="W51" s="8"/>
      <x:c r="X51" s="8"/>
      <x:c r="Y51" s="8"/>
      <x:c r="Z51" s="8"/>
    </x:row>
    <x:row r="52" ht="15" hidden="0" customHeight="1">
      <x:c r="A52" s="8" t="str">
        <x:f>'Site Inputs'!A6</x:f>
        <x:v>Salt Lake City</x:v>
      </x:c>
      <x:c r="B52" s="8" t="n">
        <x:f>'Scale Inputs'!A2</x:f>
        <x:v>25</x:v>
      </x:c>
      <x:c r="C52" s="8" t="n">
        <x:v>15</x:v>
      </x:c>
      <x:c r="D52" s="8" t="n">
        <x:f>'Scale Inputs'!B2</x:f>
        <x:v>4000</x:v>
      </x:c>
      <x:c r="E52" s="12" t="n">
        <x:f>D52*'Site Inputs'!C6</x:f>
        <x:v>720000</x:v>
      </x:c>
      <x:c r="F52" s="12" t="n">
        <x:f>'Scale Inputs'!C2*'Site Inputs'!H6</x:f>
        <x:v>1078000</x:v>
      </x:c>
      <x:c r="G52" s="12" t="n">
        <x:f>E52+F52</x:f>
        <x:v>1798000</x:v>
      </x:c>
      <x:c r="H52" s="12" t="n">
        <x:f>B52*0.8*8760*'Site Inputs'!E6*'Site Inputs'!D6</x:f>
        <x:v>18921.600000000002</x:v>
      </x:c>
      <x:c r="I52" s="12" t="n">
        <x:f>'Scale Inputs'!D2*'Site Inputs'!F6*2080*1.4</x:f>
        <x:v>111420.4</x:v>
      </x:c>
      <x:c r="J52" s="12" t="n">
        <x:f>'Scale Inputs'!E2*'Site Inputs'!G6*2080*1.4</x:f>
        <x:v>21556.079999999998</x:v>
      </x:c>
      <x:c r="K52" s="12" t="n">
        <x:f>F52*2.5%</x:f>
        <x:v>26950</x:v>
      </x:c>
      <x:c r="L52" s="12" t="n">
        <x:f>E52*'Site Inputs'!I6</x:f>
        <x:v>8640</x:v>
      </x:c>
      <x:c r="M52" s="12" t="n">
        <x:f>'Scale Inputs'!F2</x:f>
        <x:v>36000</x:v>
      </x:c>
      <x:c r="N52" s="12" t="n">
        <x:f>SUM(H52:M52)</x:f>
        <x:v>223488.08</x:v>
      </x:c>
      <x:c r="O52" s="12" t="n">
        <x:f>E52*70%+F52*20%</x:f>
        <x:v>719600</x:v>
      </x:c>
      <x:c r="P52" s="12" t="n">
        <x:f>G52+N52*C52-O52</x:f>
        <x:v>4430721.199999999</x:v>
      </x:c>
      <x:c r="Q52" s="12" t="n">
        <x:f>B52*'Scale Inputs'!G2*12+'Scale Inputs'!H2</x:f>
        <x:v>141000</x:v>
      </x:c>
      <x:c r="R52" s="12" t="n">
        <x:f>Q52*C52</x:f>
        <x:v>2115000</x:v>
      </x:c>
      <x:c r="S52" s="12" t="n">
        <x:f>P52-R52</x:f>
        <x:v>2315721.1999999993</x:v>
      </x:c>
      <x:c r="T52" s="8" t="str">
        <x:f>IF(Q52&lt;=N52,"N/M",(G52-O52)/(Q52-N52))</x:f>
        <x:v>N/M</x:v>
      </x:c>
      <x:c r="U52" s="8"/>
      <x:c r="V52" s="8"/>
      <x:c r="W52" s="8"/>
      <x:c r="X52" s="8"/>
      <x:c r="Y52" s="8"/>
      <x:c r="Z52" s="8"/>
    </x:row>
    <x:row r="53" ht="15" hidden="0" customHeight="1">
      <x:c r="A53" s="8" t="str">
        <x:f>'Site Inputs'!A6</x:f>
        <x:v>Salt Lake City</x:v>
      </x:c>
      <x:c r="B53" s="8" t="n">
        <x:f>'Scale Inputs'!A3</x:f>
        <x:v>50</x:v>
      </x:c>
      <x:c r="C53" s="8" t="n">
        <x:v>5</x:v>
      </x:c>
      <x:c r="D53" s="8" t="n">
        <x:f>'Scale Inputs'!B3</x:f>
        <x:v>5000</x:v>
      </x:c>
      <x:c r="E53" s="12" t="n">
        <x:f>D53*'Site Inputs'!C6</x:f>
        <x:v>900000</x:v>
      </x:c>
      <x:c r="F53" s="12" t="n">
        <x:f>'Scale Inputs'!C3*'Site Inputs'!H6</x:f>
        <x:v>1323000</x:v>
      </x:c>
      <x:c r="G53" s="12" t="n">
        <x:f>E53+F53</x:f>
        <x:v>2223000</x:v>
      </x:c>
      <x:c r="H53" s="12" t="n">
        <x:f>B53*0.8*8760*'Site Inputs'!E6*'Site Inputs'!D6</x:f>
        <x:v>37843.200000000004</x:v>
      </x:c>
      <x:c r="I53" s="12" t="n">
        <x:f>'Scale Inputs'!D3*'Site Inputs'!F6*2080*1.4</x:f>
        <x:v>133704.47999999998</x:v>
      </x:c>
      <x:c r="J53" s="12" t="n">
        <x:f>'Scale Inputs'!E3*'Site Inputs'!G6*2080*1.4</x:f>
        <x:v>30178.511999999995</x:v>
      </x:c>
      <x:c r="K53" s="12" t="n">
        <x:f>F53*2.5%</x:f>
        <x:v>33075</x:v>
      </x:c>
      <x:c r="L53" s="12" t="n">
        <x:f>E53*'Site Inputs'!I6</x:f>
        <x:v>10800</x:v>
      </x:c>
      <x:c r="M53" s="12" t="n">
        <x:f>'Scale Inputs'!F3</x:f>
        <x:v>42000</x:v>
      </x:c>
      <x:c r="N53" s="12" t="n">
        <x:f>SUM(H53:M53)</x:f>
        <x:v>287601.192</x:v>
      </x:c>
      <x:c r="O53" s="12" t="n">
        <x:f>E53*70%+F53*20%</x:f>
        <x:v>894600</x:v>
      </x:c>
      <x:c r="P53" s="12" t="n">
        <x:f>G53+N53*C53-O53</x:f>
        <x:v>2766405.96</x:v>
      </x:c>
      <x:c r="Q53" s="12" t="n">
        <x:f>B53*'Scale Inputs'!G3*12+'Scale Inputs'!H3</x:f>
        <x:v>246000</x:v>
      </x:c>
      <x:c r="R53" s="12" t="n">
        <x:f>Q53*C53</x:f>
        <x:v>1230000</x:v>
      </x:c>
      <x:c r="S53" s="12" t="n">
        <x:f>P53-R53</x:f>
        <x:v>1536405.96</x:v>
      </x:c>
      <x:c r="T53" s="8" t="str">
        <x:f>IF(Q53&lt;=N53,"N/M",(G53-O53)/(Q53-N53))</x:f>
        <x:v>N/M</x:v>
      </x:c>
      <x:c r="U53" s="8"/>
      <x:c r="V53" s="8"/>
      <x:c r="W53" s="8"/>
      <x:c r="X53" s="8"/>
      <x:c r="Y53" s="8"/>
      <x:c r="Z53" s="8"/>
    </x:row>
    <x:row r="54" ht="15" hidden="0" customHeight="1">
      <x:c r="A54" s="8" t="str">
        <x:f>'Site Inputs'!A6</x:f>
        <x:v>Salt Lake City</x:v>
      </x:c>
      <x:c r="B54" s="8" t="n">
        <x:f>'Scale Inputs'!A3</x:f>
        <x:v>50</x:v>
      </x:c>
      <x:c r="C54" s="8" t="n">
        <x:v>10</x:v>
      </x:c>
      <x:c r="D54" s="8" t="n">
        <x:f>'Scale Inputs'!B3</x:f>
        <x:v>5000</x:v>
      </x:c>
      <x:c r="E54" s="12" t="n">
        <x:f>D54*'Site Inputs'!C6</x:f>
        <x:v>900000</x:v>
      </x:c>
      <x:c r="F54" s="12" t="n">
        <x:f>'Scale Inputs'!C3*'Site Inputs'!H6</x:f>
        <x:v>1323000</x:v>
      </x:c>
      <x:c r="G54" s="12" t="n">
        <x:f>E54+F54</x:f>
        <x:v>2223000</x:v>
      </x:c>
      <x:c r="H54" s="12" t="n">
        <x:f>B54*0.8*8760*'Site Inputs'!E6*'Site Inputs'!D6</x:f>
        <x:v>37843.200000000004</x:v>
      </x:c>
      <x:c r="I54" s="12" t="n">
        <x:f>'Scale Inputs'!D3*'Site Inputs'!F6*2080*1.4</x:f>
        <x:v>133704.47999999998</x:v>
      </x:c>
      <x:c r="J54" s="12" t="n">
        <x:f>'Scale Inputs'!E3*'Site Inputs'!G6*2080*1.4</x:f>
        <x:v>30178.511999999995</x:v>
      </x:c>
      <x:c r="K54" s="12" t="n">
        <x:f>F54*2.5%</x:f>
        <x:v>33075</x:v>
      </x:c>
      <x:c r="L54" s="12" t="n">
        <x:f>E54*'Site Inputs'!I6</x:f>
        <x:v>10800</x:v>
      </x:c>
      <x:c r="M54" s="12" t="n">
        <x:f>'Scale Inputs'!F3</x:f>
        <x:v>42000</x:v>
      </x:c>
      <x:c r="N54" s="12" t="n">
        <x:f>SUM(H54:M54)</x:f>
        <x:v>287601.192</x:v>
      </x:c>
      <x:c r="O54" s="12" t="n">
        <x:f>E54*70%+F54*20%</x:f>
        <x:v>894600</x:v>
      </x:c>
      <x:c r="P54" s="12" t="n">
        <x:f>G54+N54*C54-O54</x:f>
        <x:v>4204411.92</x:v>
      </x:c>
      <x:c r="Q54" s="12" t="n">
        <x:f>B54*'Scale Inputs'!G3*12+'Scale Inputs'!H3</x:f>
        <x:v>246000</x:v>
      </x:c>
      <x:c r="R54" s="12" t="n">
        <x:f>Q54*C54</x:f>
        <x:v>2460000</x:v>
      </x:c>
      <x:c r="S54" s="12" t="n">
        <x:f>P54-R54</x:f>
        <x:v>1744411.92</x:v>
      </x:c>
      <x:c r="T54" s="8" t="str">
        <x:f>IF(Q54&lt;=N54,"N/M",(G54-O54)/(Q54-N54))</x:f>
        <x:v>N/M</x:v>
      </x:c>
      <x:c r="U54" s="8"/>
      <x:c r="V54" s="8"/>
      <x:c r="W54" s="8"/>
      <x:c r="X54" s="8"/>
      <x:c r="Y54" s="8"/>
      <x:c r="Z54" s="8"/>
    </x:row>
    <x:row r="55" ht="15" hidden="0" customHeight="1">
      <x:c r="A55" s="8" t="str">
        <x:f>'Site Inputs'!A6</x:f>
        <x:v>Salt Lake City</x:v>
      </x:c>
      <x:c r="B55" s="8" t="n">
        <x:f>'Scale Inputs'!A3</x:f>
        <x:v>50</x:v>
      </x:c>
      <x:c r="C55" s="8" t="n">
        <x:v>15</x:v>
      </x:c>
      <x:c r="D55" s="8" t="n">
        <x:f>'Scale Inputs'!B3</x:f>
        <x:v>5000</x:v>
      </x:c>
      <x:c r="E55" s="12" t="n">
        <x:f>D55*'Site Inputs'!C6</x:f>
        <x:v>900000</x:v>
      </x:c>
      <x:c r="F55" s="12" t="n">
        <x:f>'Scale Inputs'!C3*'Site Inputs'!H6</x:f>
        <x:v>1323000</x:v>
      </x:c>
      <x:c r="G55" s="12" t="n">
        <x:f>E55+F55</x:f>
        <x:v>2223000</x:v>
      </x:c>
      <x:c r="H55" s="12" t="n">
        <x:f>B55*0.8*8760*'Site Inputs'!E6*'Site Inputs'!D6</x:f>
        <x:v>37843.200000000004</x:v>
      </x:c>
      <x:c r="I55" s="12" t="n">
        <x:f>'Scale Inputs'!D3*'Site Inputs'!F6*2080*1.4</x:f>
        <x:v>133704.47999999998</x:v>
      </x:c>
      <x:c r="J55" s="12" t="n">
        <x:f>'Scale Inputs'!E3*'Site Inputs'!G6*2080*1.4</x:f>
        <x:v>30178.511999999995</x:v>
      </x:c>
      <x:c r="K55" s="12" t="n">
        <x:f>F55*2.5%</x:f>
        <x:v>33075</x:v>
      </x:c>
      <x:c r="L55" s="12" t="n">
        <x:f>E55*'Site Inputs'!I6</x:f>
        <x:v>10800</x:v>
      </x:c>
      <x:c r="M55" s="12" t="n">
        <x:f>'Scale Inputs'!F3</x:f>
        <x:v>42000</x:v>
      </x:c>
      <x:c r="N55" s="12" t="n">
        <x:f>SUM(H55:M55)</x:f>
        <x:v>287601.192</x:v>
      </x:c>
      <x:c r="O55" s="12" t="n">
        <x:f>E55*70%+F55*20%</x:f>
        <x:v>894600</x:v>
      </x:c>
      <x:c r="P55" s="12" t="n">
        <x:f>G55+N55*C55-O55</x:f>
        <x:v>5642417.88</x:v>
      </x:c>
      <x:c r="Q55" s="12" t="n">
        <x:f>B55*'Scale Inputs'!G3*12+'Scale Inputs'!H3</x:f>
        <x:v>246000</x:v>
      </x:c>
      <x:c r="R55" s="12" t="n">
        <x:f>Q55*C55</x:f>
        <x:v>3690000</x:v>
      </x:c>
      <x:c r="S55" s="12" t="n">
        <x:f>P55-R55</x:f>
        <x:v>1952417.88</x:v>
      </x:c>
      <x:c r="T55" s="8" t="str">
        <x:f>IF(Q55&lt;=N55,"N/M",(G55-O55)/(Q55-N55))</x:f>
        <x:v>N/M</x:v>
      </x:c>
      <x:c r="U55" s="8"/>
      <x:c r="V55" s="8"/>
      <x:c r="W55" s="8"/>
      <x:c r="X55" s="8"/>
      <x:c r="Y55" s="8"/>
      <x:c r="Z55" s="8"/>
    </x:row>
    <x:row r="56" ht="15" hidden="0" customHeight="1">
      <x:c r="A56" s="8" t="str">
        <x:f>'Site Inputs'!A6</x:f>
        <x:v>Salt Lake City</x:v>
      </x:c>
      <x:c r="B56" s="8" t="n">
        <x:f>'Scale Inputs'!A4</x:f>
        <x:v>100</x:v>
      </x:c>
      <x:c r="C56" s="8" t="n">
        <x:v>5</x:v>
      </x:c>
      <x:c r="D56" s="8" t="n">
        <x:f>'Scale Inputs'!B4</x:f>
        <x:v>6000</x:v>
      </x:c>
      <x:c r="E56" s="12" t="n">
        <x:f>D56*'Site Inputs'!C6</x:f>
        <x:v>1080000</x:v>
      </x:c>
      <x:c r="F56" s="12" t="n">
        <x:f>'Scale Inputs'!C4*'Site Inputs'!H6</x:f>
        <x:v>1764000</x:v>
      </x:c>
      <x:c r="G56" s="12" t="n">
        <x:f>E56+F56</x:f>
        <x:v>2844000</x:v>
      </x:c>
      <x:c r="H56" s="12" t="n">
        <x:f>B56*0.8*8760*'Site Inputs'!E6*'Site Inputs'!D6</x:f>
        <x:v>75686.40000000001</x:v>
      </x:c>
      <x:c r="I56" s="12" t="n">
        <x:f>'Scale Inputs'!D4*'Site Inputs'!F6*2080*1.4</x:f>
        <x:v>178272.63999999998</x:v>
      </x:c>
      <x:c r="J56" s="12" t="n">
        <x:f>'Scale Inputs'!E4*'Site Inputs'!G6*2080*1.4</x:f>
        <x:v>43112.159999999996</x:v>
      </x:c>
      <x:c r="K56" s="12" t="n">
        <x:f>F56*2.5%</x:f>
        <x:v>44100</x:v>
      </x:c>
      <x:c r="L56" s="12" t="n">
        <x:f>E56*'Site Inputs'!I6</x:f>
        <x:v>12960</x:v>
      </x:c>
      <x:c r="M56" s="12" t="n">
        <x:f>'Scale Inputs'!F4</x:f>
        <x:v>54000</x:v>
      </x:c>
      <x:c r="N56" s="12" t="n">
        <x:f>SUM(H56:M56)</x:f>
        <x:v>408131.19999999995</x:v>
      </x:c>
      <x:c r="O56" s="12" t="n">
        <x:f>E56*70%+F56*20%</x:f>
        <x:v>1108800</x:v>
      </x:c>
      <x:c r="P56" s="12" t="n">
        <x:f>G56+N56*C56-O56</x:f>
        <x:v>3775856</x:v>
      </x:c>
      <x:c r="Q56" s="12" t="n">
        <x:f>B56*'Scale Inputs'!G4*12+'Scale Inputs'!H4</x:f>
        <x:v>474000</x:v>
      </x:c>
      <x:c r="R56" s="12" t="n">
        <x:f>Q56*C56</x:f>
        <x:v>2370000</x:v>
      </x:c>
      <x:c r="S56" s="12" t="n">
        <x:f>P56-R56</x:f>
        <x:v>1405856</x:v>
      </x:c>
      <x:c r="T56" s="8" t="n">
        <x:f>IF(Q56&lt;=N56,"N/M",(G56-O56)/(Q56-N56))</x:f>
        <x:v>26.34327633113096</x:v>
      </x:c>
      <x:c r="U56" s="8"/>
      <x:c r="V56" s="8"/>
      <x:c r="W56" s="8"/>
      <x:c r="X56" s="8"/>
      <x:c r="Y56" s="8"/>
      <x:c r="Z56" s="8"/>
    </x:row>
    <x:row r="57" ht="15" hidden="0" customHeight="1">
      <x:c r="A57" s="8" t="str">
        <x:f>'Site Inputs'!A6</x:f>
        <x:v>Salt Lake City</x:v>
      </x:c>
      <x:c r="B57" s="8" t="n">
        <x:f>'Scale Inputs'!A4</x:f>
        <x:v>100</x:v>
      </x:c>
      <x:c r="C57" s="8" t="n">
        <x:v>10</x:v>
      </x:c>
      <x:c r="D57" s="8" t="n">
        <x:f>'Scale Inputs'!B4</x:f>
        <x:v>6000</x:v>
      </x:c>
      <x:c r="E57" s="12" t="n">
        <x:f>D57*'Site Inputs'!C6</x:f>
        <x:v>1080000</x:v>
      </x:c>
      <x:c r="F57" s="12" t="n">
        <x:f>'Scale Inputs'!C4*'Site Inputs'!H6</x:f>
        <x:v>1764000</x:v>
      </x:c>
      <x:c r="G57" s="12" t="n">
        <x:f>E57+F57</x:f>
        <x:v>2844000</x:v>
      </x:c>
      <x:c r="H57" s="12" t="n">
        <x:f>B57*0.8*8760*'Site Inputs'!E6*'Site Inputs'!D6</x:f>
        <x:v>75686.40000000001</x:v>
      </x:c>
      <x:c r="I57" s="12" t="n">
        <x:f>'Scale Inputs'!D4*'Site Inputs'!F6*2080*1.4</x:f>
        <x:v>178272.63999999998</x:v>
      </x:c>
      <x:c r="J57" s="12" t="n">
        <x:f>'Scale Inputs'!E4*'Site Inputs'!G6*2080*1.4</x:f>
        <x:v>43112.159999999996</x:v>
      </x:c>
      <x:c r="K57" s="12" t="n">
        <x:f>F57*2.5%</x:f>
        <x:v>44100</x:v>
      </x:c>
      <x:c r="L57" s="12" t="n">
        <x:f>E57*'Site Inputs'!I6</x:f>
        <x:v>12960</x:v>
      </x:c>
      <x:c r="M57" s="12" t="n">
        <x:f>'Scale Inputs'!F4</x:f>
        <x:v>54000</x:v>
      </x:c>
      <x:c r="N57" s="12" t="n">
        <x:f>SUM(H57:M57)</x:f>
        <x:v>408131.19999999995</x:v>
      </x:c>
      <x:c r="O57" s="12" t="n">
        <x:f>E57*70%+F57*20%</x:f>
        <x:v>1108800</x:v>
      </x:c>
      <x:c r="P57" s="12" t="n">
        <x:f>G57+N57*C57-O57</x:f>
        <x:v>5816512</x:v>
      </x:c>
      <x:c r="Q57" s="12" t="n">
        <x:f>B57*'Scale Inputs'!G4*12+'Scale Inputs'!H4</x:f>
        <x:v>474000</x:v>
      </x:c>
      <x:c r="R57" s="12" t="n">
        <x:f>Q57*C57</x:f>
        <x:v>4740000</x:v>
      </x:c>
      <x:c r="S57" s="12" t="n">
        <x:f>P57-R57</x:f>
        <x:v>1076512</x:v>
      </x:c>
      <x:c r="T57" s="8" t="n">
        <x:f>IF(Q57&lt;=N57,"N/M",(G57-O57)/(Q57-N57))</x:f>
        <x:v>26.34327633113096</x:v>
      </x:c>
      <x:c r="U57" s="8"/>
      <x:c r="V57" s="8"/>
      <x:c r="W57" s="8"/>
      <x:c r="X57" s="8"/>
      <x:c r="Y57" s="8"/>
      <x:c r="Z57" s="8"/>
    </x:row>
    <x:row r="58" ht="15" hidden="0" customHeight="1">
      <x:c r="A58" s="8" t="str">
        <x:f>'Site Inputs'!A6</x:f>
        <x:v>Salt Lake City</x:v>
      </x:c>
      <x:c r="B58" s="8" t="n">
        <x:f>'Scale Inputs'!A4</x:f>
        <x:v>100</x:v>
      </x:c>
      <x:c r="C58" s="8" t="n">
        <x:v>15</x:v>
      </x:c>
      <x:c r="D58" s="8" t="n">
        <x:f>'Scale Inputs'!B4</x:f>
        <x:v>6000</x:v>
      </x:c>
      <x:c r="E58" s="12" t="n">
        <x:f>D58*'Site Inputs'!C6</x:f>
        <x:v>1080000</x:v>
      </x:c>
      <x:c r="F58" s="12" t="n">
        <x:f>'Scale Inputs'!C4*'Site Inputs'!H6</x:f>
        <x:v>1764000</x:v>
      </x:c>
      <x:c r="G58" s="12" t="n">
        <x:f>E58+F58</x:f>
        <x:v>2844000</x:v>
      </x:c>
      <x:c r="H58" s="12" t="n">
        <x:f>B58*0.8*8760*'Site Inputs'!E6*'Site Inputs'!D6</x:f>
        <x:v>75686.40000000001</x:v>
      </x:c>
      <x:c r="I58" s="12" t="n">
        <x:f>'Scale Inputs'!D4*'Site Inputs'!F6*2080*1.4</x:f>
        <x:v>178272.63999999998</x:v>
      </x:c>
      <x:c r="J58" s="12" t="n">
        <x:f>'Scale Inputs'!E4*'Site Inputs'!G6*2080*1.4</x:f>
        <x:v>43112.159999999996</x:v>
      </x:c>
      <x:c r="K58" s="12" t="n">
        <x:f>F58*2.5%</x:f>
        <x:v>44100</x:v>
      </x:c>
      <x:c r="L58" s="12" t="n">
        <x:f>E58*'Site Inputs'!I6</x:f>
        <x:v>12960</x:v>
      </x:c>
      <x:c r="M58" s="12" t="n">
        <x:f>'Scale Inputs'!F4</x:f>
        <x:v>54000</x:v>
      </x:c>
      <x:c r="N58" s="12" t="n">
        <x:f>SUM(H58:M58)</x:f>
        <x:v>408131.19999999995</x:v>
      </x:c>
      <x:c r="O58" s="12" t="n">
        <x:f>E58*70%+F58*20%</x:f>
        <x:v>1108800</x:v>
      </x:c>
      <x:c r="P58" s="12" t="n">
        <x:f>G58+N58*C58-O58</x:f>
        <x:v>7857168</x:v>
      </x:c>
      <x:c r="Q58" s="12" t="n">
        <x:f>B58*'Scale Inputs'!G4*12+'Scale Inputs'!H4</x:f>
        <x:v>474000</x:v>
      </x:c>
      <x:c r="R58" s="12" t="n">
        <x:f>Q58*C58</x:f>
        <x:v>7110000</x:v>
      </x:c>
      <x:c r="S58" s="12" t="n">
        <x:f>P58-R58</x:f>
        <x:v>747168</x:v>
      </x:c>
      <x:c r="T58" s="8" t="n">
        <x:f>IF(Q58&lt;=N58,"N/M",(G58-O58)/(Q58-N58))</x:f>
        <x:v>26.34327633113096</x:v>
      </x:c>
      <x:c r="U58" s="8"/>
      <x:c r="V58" s="8"/>
      <x:c r="W58" s="8"/>
      <x:c r="X58" s="8"/>
      <x:c r="Y58" s="8"/>
      <x:c r="Z58" s="8"/>
    </x:row>
    <x:row r="59" ht="15" hidden="0" customHeight="1">
      <x:c r="A59" s="8" t="str">
        <x:f>'Site Inputs'!A6</x:f>
        <x:v>Salt Lake City</x:v>
      </x:c>
      <x:c r="B59" s="8" t="n">
        <x:f>'Scale Inputs'!A5</x:f>
        <x:v>250</x:v>
      </x:c>
      <x:c r="C59" s="8" t="n">
        <x:v>5</x:v>
      </x:c>
      <x:c r="D59" s="8" t="n">
        <x:f>'Scale Inputs'!B5</x:f>
        <x:v>9000</x:v>
      </x:c>
      <x:c r="E59" s="12" t="n">
        <x:f>D59*'Site Inputs'!C6</x:f>
        <x:v>1620000</x:v>
      </x:c>
      <x:c r="F59" s="12" t="n">
        <x:f>'Scale Inputs'!C5*'Site Inputs'!H6</x:f>
        <x:v>2940000</x:v>
      </x:c>
      <x:c r="G59" s="12" t="n">
        <x:f>E59+F59</x:f>
        <x:v>4560000</x:v>
      </x:c>
      <x:c r="H59" s="12" t="n">
        <x:f>B59*0.8*8760*'Site Inputs'!E6*'Site Inputs'!D6</x:f>
        <x:v>189216</x:v>
      </x:c>
      <x:c r="I59" s="12" t="n">
        <x:f>'Scale Inputs'!D5*'Site Inputs'!F6*2080*1.4</x:f>
        <x:v>267408.95999999996</x:v>
      </x:c>
      <x:c r="J59" s="12" t="n">
        <x:f>'Scale Inputs'!E5*'Site Inputs'!G6*2080*1.4</x:f>
        <x:v>64668.23999999999</x:v>
      </x:c>
      <x:c r="K59" s="12" t="n">
        <x:f>F59*2.5%</x:f>
        <x:v>73500</x:v>
      </x:c>
      <x:c r="L59" s="12" t="n">
        <x:f>E59*'Site Inputs'!I6</x:f>
        <x:v>19440</x:v>
      </x:c>
      <x:c r="M59" s="12" t="n">
        <x:f>'Scale Inputs'!F5</x:f>
        <x:v>72000</x:v>
      </x:c>
      <x:c r="N59" s="12" t="n">
        <x:f>SUM(H59:M59)</x:f>
        <x:v>686233.2</x:v>
      </x:c>
      <x:c r="O59" s="12" t="n">
        <x:f>E59*70%+F59*20%</x:f>
        <x:v>1722000</x:v>
      </x:c>
      <x:c r="P59" s="12" t="n">
        <x:f>G59+N59*C59-O59</x:f>
        <x:v>6269166</x:v>
      </x:c>
      <x:c r="Q59" s="12" t="n">
        <x:f>B59*'Scale Inputs'!G5*12+'Scale Inputs'!H5</x:f>
        <x:v>1122000</x:v>
      </x:c>
      <x:c r="R59" s="12" t="n">
        <x:f>Q59*C59</x:f>
        <x:v>5610000</x:v>
      </x:c>
      <x:c r="S59" s="12" t="n">
        <x:f>P59-R59</x:f>
        <x:v>659166</x:v>
      </x:c>
      <x:c r="T59" s="8" t="n">
        <x:f>IF(Q59&lt;=N59,"N/M",(G59-O59)/(Q59-N59))</x:f>
        <x:v>6.5126576875521485</x:v>
      </x:c>
      <x:c r="U59" s="8"/>
      <x:c r="V59" s="8"/>
      <x:c r="W59" s="8"/>
      <x:c r="X59" s="8"/>
      <x:c r="Y59" s="8"/>
      <x:c r="Z59" s="8"/>
    </x:row>
    <x:row r="60" ht="15" hidden="0" customHeight="1">
      <x:c r="A60" s="8" t="str">
        <x:f>'Site Inputs'!A6</x:f>
        <x:v>Salt Lake City</x:v>
      </x:c>
      <x:c r="B60" s="8" t="n">
        <x:f>'Scale Inputs'!A5</x:f>
        <x:v>250</x:v>
      </x:c>
      <x:c r="C60" s="8" t="n">
        <x:v>10</x:v>
      </x:c>
      <x:c r="D60" s="8" t="n">
        <x:f>'Scale Inputs'!B5</x:f>
        <x:v>9000</x:v>
      </x:c>
      <x:c r="E60" s="12" t="n">
        <x:f>D60*'Site Inputs'!C6</x:f>
        <x:v>1620000</x:v>
      </x:c>
      <x:c r="F60" s="12" t="n">
        <x:f>'Scale Inputs'!C5*'Site Inputs'!H6</x:f>
        <x:v>2940000</x:v>
      </x:c>
      <x:c r="G60" s="12" t="n">
        <x:f>E60+F60</x:f>
        <x:v>4560000</x:v>
      </x:c>
      <x:c r="H60" s="12" t="n">
        <x:f>B60*0.8*8760*'Site Inputs'!E6*'Site Inputs'!D6</x:f>
        <x:v>189216</x:v>
      </x:c>
      <x:c r="I60" s="12" t="n">
        <x:f>'Scale Inputs'!D5*'Site Inputs'!F6*2080*1.4</x:f>
        <x:v>267408.95999999996</x:v>
      </x:c>
      <x:c r="J60" s="12" t="n">
        <x:f>'Scale Inputs'!E5*'Site Inputs'!G6*2080*1.4</x:f>
        <x:v>64668.23999999999</x:v>
      </x:c>
      <x:c r="K60" s="12" t="n">
        <x:f>F60*2.5%</x:f>
        <x:v>73500</x:v>
      </x:c>
      <x:c r="L60" s="12" t="n">
        <x:f>E60*'Site Inputs'!I6</x:f>
        <x:v>19440</x:v>
      </x:c>
      <x:c r="M60" s="12" t="n">
        <x:f>'Scale Inputs'!F5</x:f>
        <x:v>72000</x:v>
      </x:c>
      <x:c r="N60" s="12" t="n">
        <x:f>SUM(H60:M60)</x:f>
        <x:v>686233.2</x:v>
      </x:c>
      <x:c r="O60" s="12" t="n">
        <x:f>E60*70%+F60*20%</x:f>
        <x:v>1722000</x:v>
      </x:c>
      <x:c r="P60" s="12" t="n">
        <x:f>G60+N60*C60-O60</x:f>
        <x:v>9700332</x:v>
      </x:c>
      <x:c r="Q60" s="12" t="n">
        <x:f>B60*'Scale Inputs'!G5*12+'Scale Inputs'!H5</x:f>
        <x:v>1122000</x:v>
      </x:c>
      <x:c r="R60" s="12" t="n">
        <x:f>Q60*C60</x:f>
        <x:v>11220000</x:v>
      </x:c>
      <x:c r="S60" s="12" t="n">
        <x:f>P60-R60</x:f>
        <x:v>-1519668</x:v>
      </x:c>
      <x:c r="T60" s="8" t="n">
        <x:f>IF(Q60&lt;=N60,"N/M",(G60-O60)/(Q60-N60))</x:f>
        <x:v>6.5126576875521485</x:v>
      </x:c>
      <x:c r="U60" s="8"/>
      <x:c r="V60" s="8"/>
      <x:c r="W60" s="8"/>
      <x:c r="X60" s="8"/>
      <x:c r="Y60" s="8"/>
      <x:c r="Z60" s="8"/>
    </x:row>
    <x:row r="61" ht="15" hidden="0" customHeight="1">
      <x:c r="A61" s="8" t="str">
        <x:f>'Site Inputs'!A6</x:f>
        <x:v>Salt Lake City</x:v>
      </x:c>
      <x:c r="B61" s="8" t="n">
        <x:f>'Scale Inputs'!A5</x:f>
        <x:v>250</x:v>
      </x:c>
      <x:c r="C61" s="8" t="n">
        <x:v>15</x:v>
      </x:c>
      <x:c r="D61" s="8" t="n">
        <x:f>'Scale Inputs'!B5</x:f>
        <x:v>9000</x:v>
      </x:c>
      <x:c r="E61" s="12" t="n">
        <x:f>D61*'Site Inputs'!C6</x:f>
        <x:v>1620000</x:v>
      </x:c>
      <x:c r="F61" s="12" t="n">
        <x:f>'Scale Inputs'!C5*'Site Inputs'!H6</x:f>
        <x:v>2940000</x:v>
      </x:c>
      <x:c r="G61" s="12" t="n">
        <x:f>E61+F61</x:f>
        <x:v>4560000</x:v>
      </x:c>
      <x:c r="H61" s="12" t="n">
        <x:f>B61*0.8*8760*'Site Inputs'!E6*'Site Inputs'!D6</x:f>
        <x:v>189216</x:v>
      </x:c>
      <x:c r="I61" s="12" t="n">
        <x:f>'Scale Inputs'!D5*'Site Inputs'!F6*2080*1.4</x:f>
        <x:v>267408.95999999996</x:v>
      </x:c>
      <x:c r="J61" s="12" t="n">
        <x:f>'Scale Inputs'!E5*'Site Inputs'!G6*2080*1.4</x:f>
        <x:v>64668.23999999999</x:v>
      </x:c>
      <x:c r="K61" s="12" t="n">
        <x:f>F61*2.5%</x:f>
        <x:v>73500</x:v>
      </x:c>
      <x:c r="L61" s="12" t="n">
        <x:f>E61*'Site Inputs'!I6</x:f>
        <x:v>19440</x:v>
      </x:c>
      <x:c r="M61" s="12" t="n">
        <x:f>'Scale Inputs'!F5</x:f>
        <x:v>72000</x:v>
      </x:c>
      <x:c r="N61" s="12" t="n">
        <x:f>SUM(H61:M61)</x:f>
        <x:v>686233.2</x:v>
      </x:c>
      <x:c r="O61" s="12" t="n">
        <x:f>E61*70%+F61*20%</x:f>
        <x:v>1722000</x:v>
      </x:c>
      <x:c r="P61" s="12" t="n">
        <x:f>G61+N61*C61-O61</x:f>
        <x:v>13131498</x:v>
      </x:c>
      <x:c r="Q61" s="12" t="n">
        <x:f>B61*'Scale Inputs'!G5*12+'Scale Inputs'!H5</x:f>
        <x:v>1122000</x:v>
      </x:c>
      <x:c r="R61" s="12" t="n">
        <x:f>Q61*C61</x:f>
        <x:v>16830000</x:v>
      </x:c>
      <x:c r="S61" s="12" t="n">
        <x:f>P61-R61</x:f>
        <x:v>-3698502</x:v>
      </x:c>
      <x:c r="T61" s="8" t="n">
        <x:f>IF(Q61&lt;=N61,"N/M",(G61-O61)/(Q61-N61))</x:f>
        <x:v>6.5126576875521485</x:v>
      </x:c>
      <x:c r="U61" s="8"/>
      <x:c r="V61" s="8"/>
      <x:c r="W61" s="8"/>
      <x:c r="X61" s="8"/>
      <x:c r="Y61" s="8"/>
      <x:c r="Z61" s="8"/>
    </x:row>
    <x:row r="62" ht="15" hidden="0" customHeight="1">
      <x:c r="A62" s="8" t="str">
        <x:f>'Site Inputs'!A7</x:f>
        <x:v>Quincy / Central Washington</x:v>
      </x:c>
      <x:c r="B62" s="8" t="n">
        <x:f>'Scale Inputs'!A2</x:f>
        <x:v>25</x:v>
      </x:c>
      <x:c r="C62" s="8" t="n">
        <x:v>5</x:v>
      </x:c>
      <x:c r="D62" s="8" t="n">
        <x:f>'Scale Inputs'!B2</x:f>
        <x:v>4000</x:v>
      </x:c>
      <x:c r="E62" s="12" t="n">
        <x:f>D62*'Site Inputs'!C7</x:f>
        <x:v>500000</x:v>
      </x:c>
      <x:c r="F62" s="12" t="n">
        <x:f>'Scale Inputs'!C2*'Site Inputs'!H7</x:f>
        <x:v>1045000</x:v>
      </x:c>
      <x:c r="G62" s="12" t="n">
        <x:f>E62+F62</x:f>
        <x:v>1545000</x:v>
      </x:c>
      <x:c r="H62" s="12" t="n">
        <x:f>B62*0.8*8760*'Site Inputs'!E7*'Site Inputs'!D7</x:f>
        <x:v>13140</x:v>
      </x:c>
      <x:c r="I62" s="12" t="n">
        <x:f>'Scale Inputs'!D2*'Site Inputs'!F7*2080*1.4</x:f>
        <x:v>109200</x:v>
      </x:c>
      <x:c r="J62" s="12" t="n">
        <x:f>'Scale Inputs'!E2*'Site Inputs'!G7*2080*1.4</x:f>
        <x:v>20384</x:v>
      </x:c>
      <x:c r="K62" s="12" t="n">
        <x:f>F62*2.5%</x:f>
        <x:v>26125</x:v>
      </x:c>
      <x:c r="L62" s="12" t="n">
        <x:f>E62*'Site Inputs'!I7</x:f>
        <x:v>6500</x:v>
      </x:c>
      <x:c r="M62" s="12" t="n">
        <x:f>'Scale Inputs'!F2</x:f>
        <x:v>36000</x:v>
      </x:c>
      <x:c r="N62" s="12" t="n">
        <x:f>SUM(H62:M62)</x:f>
        <x:v>211349</x:v>
      </x:c>
      <x:c r="O62" s="12" t="n">
        <x:f>E62*70%+F62*20%</x:f>
        <x:v>559000</x:v>
      </x:c>
      <x:c r="P62" s="12" t="n">
        <x:f>G62+N62*C62-O62</x:f>
        <x:v>2042745</x:v>
      </x:c>
      <x:c r="Q62" s="12" t="n">
        <x:f>B62*'Scale Inputs'!G2*12+'Scale Inputs'!H2</x:f>
        <x:v>141000</x:v>
      </x:c>
      <x:c r="R62" s="12" t="n">
        <x:f>Q62*C62</x:f>
        <x:v>705000</x:v>
      </x:c>
      <x:c r="S62" s="12" t="n">
        <x:f>P62-R62</x:f>
        <x:v>1337745</x:v>
      </x:c>
      <x:c r="T62" s="8" t="str">
        <x:f>IF(Q62&lt;=N62,"N/M",(G62-O62)/(Q62-N62))</x:f>
        <x:v>N/M</x:v>
      </x:c>
      <x:c r="U62" s="8"/>
      <x:c r="V62" s="8"/>
      <x:c r="W62" s="8"/>
      <x:c r="X62" s="8"/>
      <x:c r="Y62" s="8"/>
      <x:c r="Z62" s="8"/>
    </x:row>
    <x:row r="63" ht="15" hidden="0" customHeight="1">
      <x:c r="A63" s="8" t="str">
        <x:f>'Site Inputs'!A7</x:f>
        <x:v>Quincy / Central Washington</x:v>
      </x:c>
      <x:c r="B63" s="8" t="n">
        <x:f>'Scale Inputs'!A2</x:f>
        <x:v>25</x:v>
      </x:c>
      <x:c r="C63" s="8" t="n">
        <x:v>10</x:v>
      </x:c>
      <x:c r="D63" s="8" t="n">
        <x:f>'Scale Inputs'!B2</x:f>
        <x:v>4000</x:v>
      </x:c>
      <x:c r="E63" s="12" t="n">
        <x:f>D63*'Site Inputs'!C7</x:f>
        <x:v>500000</x:v>
      </x:c>
      <x:c r="F63" s="12" t="n">
        <x:f>'Scale Inputs'!C2*'Site Inputs'!H7</x:f>
        <x:v>1045000</x:v>
      </x:c>
      <x:c r="G63" s="12" t="n">
        <x:f>E63+F63</x:f>
        <x:v>1545000</x:v>
      </x:c>
      <x:c r="H63" s="12" t="n">
        <x:f>B63*0.8*8760*'Site Inputs'!E7*'Site Inputs'!D7</x:f>
        <x:v>13140</x:v>
      </x:c>
      <x:c r="I63" s="12" t="n">
        <x:f>'Scale Inputs'!D2*'Site Inputs'!F7*2080*1.4</x:f>
        <x:v>109200</x:v>
      </x:c>
      <x:c r="J63" s="12" t="n">
        <x:f>'Scale Inputs'!E2*'Site Inputs'!G7*2080*1.4</x:f>
        <x:v>20384</x:v>
      </x:c>
      <x:c r="K63" s="12" t="n">
        <x:f>F63*2.5%</x:f>
        <x:v>26125</x:v>
      </x:c>
      <x:c r="L63" s="12" t="n">
        <x:f>E63*'Site Inputs'!I7</x:f>
        <x:v>6500</x:v>
      </x:c>
      <x:c r="M63" s="12" t="n">
        <x:f>'Scale Inputs'!F2</x:f>
        <x:v>36000</x:v>
      </x:c>
      <x:c r="N63" s="12" t="n">
        <x:f>SUM(H63:M63)</x:f>
        <x:v>211349</x:v>
      </x:c>
      <x:c r="O63" s="12" t="n">
        <x:f>E63*70%+F63*20%</x:f>
        <x:v>559000</x:v>
      </x:c>
      <x:c r="P63" s="12" t="n">
        <x:f>G63+N63*C63-O63</x:f>
        <x:v>3099490</x:v>
      </x:c>
      <x:c r="Q63" s="12" t="n">
        <x:f>B63*'Scale Inputs'!G2*12+'Scale Inputs'!H2</x:f>
        <x:v>141000</x:v>
      </x:c>
      <x:c r="R63" s="12" t="n">
        <x:f>Q63*C63</x:f>
        <x:v>1410000</x:v>
      </x:c>
      <x:c r="S63" s="12" t="n">
        <x:f>P63-R63</x:f>
        <x:v>1689490</x:v>
      </x:c>
      <x:c r="T63" s="8" t="str">
        <x:f>IF(Q63&lt;=N63,"N/M",(G63-O63)/(Q63-N63))</x:f>
        <x:v>N/M</x:v>
      </x:c>
      <x:c r="U63" s="8"/>
      <x:c r="V63" s="8"/>
      <x:c r="W63" s="8"/>
      <x:c r="X63" s="8"/>
      <x:c r="Y63" s="8"/>
      <x:c r="Z63" s="8"/>
    </x:row>
    <x:row r="64" ht="15" hidden="0" customHeight="1">
      <x:c r="A64" s="8" t="str">
        <x:f>'Site Inputs'!A7</x:f>
        <x:v>Quincy / Central Washington</x:v>
      </x:c>
      <x:c r="B64" s="8" t="n">
        <x:f>'Scale Inputs'!A2</x:f>
        <x:v>25</x:v>
      </x:c>
      <x:c r="C64" s="8" t="n">
        <x:v>15</x:v>
      </x:c>
      <x:c r="D64" s="8" t="n">
        <x:f>'Scale Inputs'!B2</x:f>
        <x:v>4000</x:v>
      </x:c>
      <x:c r="E64" s="12" t="n">
        <x:f>D64*'Site Inputs'!C7</x:f>
        <x:v>500000</x:v>
      </x:c>
      <x:c r="F64" s="12" t="n">
        <x:f>'Scale Inputs'!C2*'Site Inputs'!H7</x:f>
        <x:v>1045000</x:v>
      </x:c>
      <x:c r="G64" s="12" t="n">
        <x:f>E64+F64</x:f>
        <x:v>1545000</x:v>
      </x:c>
      <x:c r="H64" s="12" t="n">
        <x:f>B64*0.8*8760*'Site Inputs'!E7*'Site Inputs'!D7</x:f>
        <x:v>13140</x:v>
      </x:c>
      <x:c r="I64" s="12" t="n">
        <x:f>'Scale Inputs'!D2*'Site Inputs'!F7*2080*1.4</x:f>
        <x:v>109200</x:v>
      </x:c>
      <x:c r="J64" s="12" t="n">
        <x:f>'Scale Inputs'!E2*'Site Inputs'!G7*2080*1.4</x:f>
        <x:v>20384</x:v>
      </x:c>
      <x:c r="K64" s="12" t="n">
        <x:f>F64*2.5%</x:f>
        <x:v>26125</x:v>
      </x:c>
      <x:c r="L64" s="12" t="n">
        <x:f>E64*'Site Inputs'!I7</x:f>
        <x:v>6500</x:v>
      </x:c>
      <x:c r="M64" s="12" t="n">
        <x:f>'Scale Inputs'!F2</x:f>
        <x:v>36000</x:v>
      </x:c>
      <x:c r="N64" s="12" t="n">
        <x:f>SUM(H64:M64)</x:f>
        <x:v>211349</x:v>
      </x:c>
      <x:c r="O64" s="12" t="n">
        <x:f>E64*70%+F64*20%</x:f>
        <x:v>559000</x:v>
      </x:c>
      <x:c r="P64" s="12" t="n">
        <x:f>G64+N64*C64-O64</x:f>
        <x:v>4156235</x:v>
      </x:c>
      <x:c r="Q64" s="12" t="n">
        <x:f>B64*'Scale Inputs'!G2*12+'Scale Inputs'!H2</x:f>
        <x:v>141000</x:v>
      </x:c>
      <x:c r="R64" s="12" t="n">
        <x:f>Q64*C64</x:f>
        <x:v>2115000</x:v>
      </x:c>
      <x:c r="S64" s="12" t="n">
        <x:f>P64-R64</x:f>
        <x:v>2041235</x:v>
      </x:c>
      <x:c r="T64" s="8" t="str">
        <x:f>IF(Q64&lt;=N64,"N/M",(G64-O64)/(Q64-N64))</x:f>
        <x:v>N/M</x:v>
      </x:c>
      <x:c r="U64" s="8"/>
      <x:c r="V64" s="8"/>
      <x:c r="W64" s="8"/>
      <x:c r="X64" s="8"/>
      <x:c r="Y64" s="8"/>
      <x:c r="Z64" s="8"/>
    </x:row>
    <x:row r="65" ht="15" hidden="0" customHeight="1">
      <x:c r="A65" s="8" t="str">
        <x:f>'Site Inputs'!A7</x:f>
        <x:v>Quincy / Central Washington</x:v>
      </x:c>
      <x:c r="B65" s="8" t="n">
        <x:f>'Scale Inputs'!A3</x:f>
        <x:v>50</x:v>
      </x:c>
      <x:c r="C65" s="8" t="n">
        <x:v>5</x:v>
      </x:c>
      <x:c r="D65" s="8" t="n">
        <x:f>'Scale Inputs'!B3</x:f>
        <x:v>5000</x:v>
      </x:c>
      <x:c r="E65" s="12" t="n">
        <x:f>D65*'Site Inputs'!C7</x:f>
        <x:v>625000</x:v>
      </x:c>
      <x:c r="F65" s="12" t="n">
        <x:f>'Scale Inputs'!C3*'Site Inputs'!H7</x:f>
        <x:v>1282500</x:v>
      </x:c>
      <x:c r="G65" s="12" t="n">
        <x:f>E65+F65</x:f>
        <x:v>1907500</x:v>
      </x:c>
      <x:c r="H65" s="12" t="n">
        <x:f>B65*0.8*8760*'Site Inputs'!E7*'Site Inputs'!D7</x:f>
        <x:v>26280</x:v>
      </x:c>
      <x:c r="I65" s="12" t="n">
        <x:f>'Scale Inputs'!D3*'Site Inputs'!F7*2080*1.4</x:f>
        <x:v>131039.99999999999</x:v>
      </x:c>
      <x:c r="J65" s="12" t="n">
        <x:f>'Scale Inputs'!E3*'Site Inputs'!G7*2080*1.4</x:f>
        <x:v>28537.599999999995</x:v>
      </x:c>
      <x:c r="K65" s="12" t="n">
        <x:f>F65*2.5%</x:f>
        <x:v>32062.5</x:v>
      </x:c>
      <x:c r="L65" s="12" t="n">
        <x:f>E65*'Site Inputs'!I7</x:f>
        <x:v>8125</x:v>
      </x:c>
      <x:c r="M65" s="12" t="n">
        <x:f>'Scale Inputs'!F3</x:f>
        <x:v>42000</x:v>
      </x:c>
      <x:c r="N65" s="12" t="n">
        <x:f>SUM(H65:M65)</x:f>
        <x:v>268045.1</x:v>
      </x:c>
      <x:c r="O65" s="12" t="n">
        <x:f>E65*70%+F65*20%</x:f>
        <x:v>694000</x:v>
      </x:c>
      <x:c r="P65" s="12" t="n">
        <x:f>G65+N65*C65-O65</x:f>
        <x:v>2553725.5</x:v>
      </x:c>
      <x:c r="Q65" s="12" t="n">
        <x:f>B65*'Scale Inputs'!G3*12+'Scale Inputs'!H3</x:f>
        <x:v>246000</x:v>
      </x:c>
      <x:c r="R65" s="12" t="n">
        <x:f>Q65*C65</x:f>
        <x:v>1230000</x:v>
      </x:c>
      <x:c r="S65" s="12" t="n">
        <x:f>P65-R65</x:f>
        <x:v>1323725.5</x:v>
      </x:c>
      <x:c r="T65" s="8" t="str">
        <x:f>IF(Q65&lt;=N65,"N/M",(G65-O65)/(Q65-N65))</x:f>
        <x:v>N/M</x:v>
      </x:c>
      <x:c r="U65" s="8"/>
      <x:c r="V65" s="8"/>
      <x:c r="W65" s="8"/>
      <x:c r="X65" s="8"/>
      <x:c r="Y65" s="8"/>
      <x:c r="Z65" s="8"/>
    </x:row>
    <x:row r="66" ht="15" hidden="0" customHeight="1">
      <x:c r="A66" s="8" t="str">
        <x:f>'Site Inputs'!A7</x:f>
        <x:v>Quincy / Central Washington</x:v>
      </x:c>
      <x:c r="B66" s="8" t="n">
        <x:f>'Scale Inputs'!A3</x:f>
        <x:v>50</x:v>
      </x:c>
      <x:c r="C66" s="8" t="n">
        <x:v>10</x:v>
      </x:c>
      <x:c r="D66" s="8" t="n">
        <x:f>'Scale Inputs'!B3</x:f>
        <x:v>5000</x:v>
      </x:c>
      <x:c r="E66" s="12" t="n">
        <x:f>D66*'Site Inputs'!C7</x:f>
        <x:v>625000</x:v>
      </x:c>
      <x:c r="F66" s="12" t="n">
        <x:f>'Scale Inputs'!C3*'Site Inputs'!H7</x:f>
        <x:v>1282500</x:v>
      </x:c>
      <x:c r="G66" s="12" t="n">
        <x:f>E66+F66</x:f>
        <x:v>1907500</x:v>
      </x:c>
      <x:c r="H66" s="12" t="n">
        <x:f>B66*0.8*8760*'Site Inputs'!E7*'Site Inputs'!D7</x:f>
        <x:v>26280</x:v>
      </x:c>
      <x:c r="I66" s="12" t="n">
        <x:f>'Scale Inputs'!D3*'Site Inputs'!F7*2080*1.4</x:f>
        <x:v>131039.99999999999</x:v>
      </x:c>
      <x:c r="J66" s="12" t="n">
        <x:f>'Scale Inputs'!E3*'Site Inputs'!G7*2080*1.4</x:f>
        <x:v>28537.599999999995</x:v>
      </x:c>
      <x:c r="K66" s="12" t="n">
        <x:f>F66*2.5%</x:f>
        <x:v>32062.5</x:v>
      </x:c>
      <x:c r="L66" s="12" t="n">
        <x:f>E66*'Site Inputs'!I7</x:f>
        <x:v>8125</x:v>
      </x:c>
      <x:c r="M66" s="12" t="n">
        <x:f>'Scale Inputs'!F3</x:f>
        <x:v>42000</x:v>
      </x:c>
      <x:c r="N66" s="12" t="n">
        <x:f>SUM(H66:M66)</x:f>
        <x:v>268045.1</x:v>
      </x:c>
      <x:c r="O66" s="12" t="n">
        <x:f>E66*70%+F66*20%</x:f>
        <x:v>694000</x:v>
      </x:c>
      <x:c r="P66" s="12" t="n">
        <x:f>G66+N66*C66-O66</x:f>
        <x:v>3893951</x:v>
      </x:c>
      <x:c r="Q66" s="12" t="n">
        <x:f>B66*'Scale Inputs'!G3*12+'Scale Inputs'!H3</x:f>
        <x:v>246000</x:v>
      </x:c>
      <x:c r="R66" s="12" t="n">
        <x:f>Q66*C66</x:f>
        <x:v>2460000</x:v>
      </x:c>
      <x:c r="S66" s="12" t="n">
        <x:f>P66-R66</x:f>
        <x:v>1433951</x:v>
      </x:c>
      <x:c r="T66" s="8" t="str">
        <x:f>IF(Q66&lt;=N66,"N/M",(G66-O66)/(Q66-N66))</x:f>
        <x:v>N/M</x:v>
      </x:c>
      <x:c r="U66" s="8"/>
      <x:c r="V66" s="8"/>
      <x:c r="W66" s="8"/>
      <x:c r="X66" s="8"/>
      <x:c r="Y66" s="8"/>
      <x:c r="Z66" s="8"/>
    </x:row>
    <x:row r="67" ht="15" hidden="0" customHeight="1">
      <x:c r="A67" s="8" t="str">
        <x:f>'Site Inputs'!A7</x:f>
        <x:v>Quincy / Central Washington</x:v>
      </x:c>
      <x:c r="B67" s="8" t="n">
        <x:f>'Scale Inputs'!A3</x:f>
        <x:v>50</x:v>
      </x:c>
      <x:c r="C67" s="8" t="n">
        <x:v>15</x:v>
      </x:c>
      <x:c r="D67" s="8" t="n">
        <x:f>'Scale Inputs'!B3</x:f>
        <x:v>5000</x:v>
      </x:c>
      <x:c r="E67" s="12" t="n">
        <x:f>D67*'Site Inputs'!C7</x:f>
        <x:v>625000</x:v>
      </x:c>
      <x:c r="F67" s="12" t="n">
        <x:f>'Scale Inputs'!C3*'Site Inputs'!H7</x:f>
        <x:v>1282500</x:v>
      </x:c>
      <x:c r="G67" s="12" t="n">
        <x:f>E67+F67</x:f>
        <x:v>1907500</x:v>
      </x:c>
      <x:c r="H67" s="12" t="n">
        <x:f>B67*0.8*8760*'Site Inputs'!E7*'Site Inputs'!D7</x:f>
        <x:v>26280</x:v>
      </x:c>
      <x:c r="I67" s="12" t="n">
        <x:f>'Scale Inputs'!D3*'Site Inputs'!F7*2080*1.4</x:f>
        <x:v>131039.99999999999</x:v>
      </x:c>
      <x:c r="J67" s="12" t="n">
        <x:f>'Scale Inputs'!E3*'Site Inputs'!G7*2080*1.4</x:f>
        <x:v>28537.599999999995</x:v>
      </x:c>
      <x:c r="K67" s="12" t="n">
        <x:f>F67*2.5%</x:f>
        <x:v>32062.5</x:v>
      </x:c>
      <x:c r="L67" s="12" t="n">
        <x:f>E67*'Site Inputs'!I7</x:f>
        <x:v>8125</x:v>
      </x:c>
      <x:c r="M67" s="12" t="n">
        <x:f>'Scale Inputs'!F3</x:f>
        <x:v>42000</x:v>
      </x:c>
      <x:c r="N67" s="12" t="n">
        <x:f>SUM(H67:M67)</x:f>
        <x:v>268045.1</x:v>
      </x:c>
      <x:c r="O67" s="12" t="n">
        <x:f>E67*70%+F67*20%</x:f>
        <x:v>694000</x:v>
      </x:c>
      <x:c r="P67" s="12" t="n">
        <x:f>G67+N67*C67-O67</x:f>
        <x:v>5234176.5</x:v>
      </x:c>
      <x:c r="Q67" s="12" t="n">
        <x:f>B67*'Scale Inputs'!G3*12+'Scale Inputs'!H3</x:f>
        <x:v>246000</x:v>
      </x:c>
      <x:c r="R67" s="12" t="n">
        <x:f>Q67*C67</x:f>
        <x:v>3690000</x:v>
      </x:c>
      <x:c r="S67" s="12" t="n">
        <x:f>P67-R67</x:f>
        <x:v>1544176.5</x:v>
      </x:c>
      <x:c r="T67" s="8" t="str">
        <x:f>IF(Q67&lt;=N67,"N/M",(G67-O67)/(Q67-N67))</x:f>
        <x:v>N/M</x:v>
      </x:c>
      <x:c r="U67" s="8"/>
      <x:c r="V67" s="8"/>
      <x:c r="W67" s="8"/>
      <x:c r="X67" s="8"/>
      <x:c r="Y67" s="8"/>
      <x:c r="Z67" s="8"/>
    </x:row>
    <x:row r="68" ht="15" hidden="0" customHeight="1">
      <x:c r="A68" s="8" t="str">
        <x:f>'Site Inputs'!A7</x:f>
        <x:v>Quincy / Central Washington</x:v>
      </x:c>
      <x:c r="B68" s="8" t="n">
        <x:f>'Scale Inputs'!A4</x:f>
        <x:v>100</x:v>
      </x:c>
      <x:c r="C68" s="8" t="n">
        <x:v>5</x:v>
      </x:c>
      <x:c r="D68" s="8" t="n">
        <x:f>'Scale Inputs'!B4</x:f>
        <x:v>6000</x:v>
      </x:c>
      <x:c r="E68" s="12" t="n">
        <x:f>D68*'Site Inputs'!C7</x:f>
        <x:v>750000</x:v>
      </x:c>
      <x:c r="F68" s="12" t="n">
        <x:f>'Scale Inputs'!C4*'Site Inputs'!H7</x:f>
        <x:v>1710000</x:v>
      </x:c>
      <x:c r="G68" s="12" t="n">
        <x:f>E68+F68</x:f>
        <x:v>2460000</x:v>
      </x:c>
      <x:c r="H68" s="12" t="n">
        <x:f>B68*0.8*8760*'Site Inputs'!E7*'Site Inputs'!D7</x:f>
        <x:v>52560</x:v>
      </x:c>
      <x:c r="I68" s="12" t="n">
        <x:f>'Scale Inputs'!D4*'Site Inputs'!F7*2080*1.4</x:f>
        <x:v>174720</x:v>
      </x:c>
      <x:c r="J68" s="12" t="n">
        <x:f>'Scale Inputs'!E4*'Site Inputs'!G7*2080*1.4</x:f>
        <x:v>40768</x:v>
      </x:c>
      <x:c r="K68" s="12" t="n">
        <x:f>F68*2.5%</x:f>
        <x:v>42750</x:v>
      </x:c>
      <x:c r="L68" s="12" t="n">
        <x:f>E68*'Site Inputs'!I7</x:f>
        <x:v>9750</x:v>
      </x:c>
      <x:c r="M68" s="12" t="n">
        <x:f>'Scale Inputs'!F4</x:f>
        <x:v>54000</x:v>
      </x:c>
      <x:c r="N68" s="12" t="n">
        <x:f>SUM(H68:M68)</x:f>
        <x:v>374548</x:v>
      </x:c>
      <x:c r="O68" s="12" t="n">
        <x:f>E68*70%+F68*20%</x:f>
        <x:v>867000</x:v>
      </x:c>
      <x:c r="P68" s="12" t="n">
        <x:f>G68+N68*C68-O68</x:f>
        <x:v>3465740</x:v>
      </x:c>
      <x:c r="Q68" s="12" t="n">
        <x:f>B68*'Scale Inputs'!G4*12+'Scale Inputs'!H4</x:f>
        <x:v>474000</x:v>
      </x:c>
      <x:c r="R68" s="12" t="n">
        <x:f>Q68*C68</x:f>
        <x:v>2370000</x:v>
      </x:c>
      <x:c r="S68" s="12" t="n">
        <x:f>P68-R68</x:f>
        <x:v>1095740</x:v>
      </x:c>
      <x:c r="T68" s="8" t="n">
        <x:f>IF(Q68&lt;=N68,"N/M",(G68-O68)/(Q68-N68))</x:f>
        <x:v>16.01777742026304</x:v>
      </x:c>
      <x:c r="U68" s="8"/>
      <x:c r="V68" s="8"/>
      <x:c r="W68" s="8"/>
      <x:c r="X68" s="8"/>
      <x:c r="Y68" s="8"/>
      <x:c r="Z68" s="8"/>
    </x:row>
    <x:row r="69" ht="15" hidden="0" customHeight="1">
      <x:c r="A69" s="8" t="str">
        <x:f>'Site Inputs'!A7</x:f>
        <x:v>Quincy / Central Washington</x:v>
      </x:c>
      <x:c r="B69" s="8" t="n">
        <x:f>'Scale Inputs'!A4</x:f>
        <x:v>100</x:v>
      </x:c>
      <x:c r="C69" s="8" t="n">
        <x:v>10</x:v>
      </x:c>
      <x:c r="D69" s="8" t="n">
        <x:f>'Scale Inputs'!B4</x:f>
        <x:v>6000</x:v>
      </x:c>
      <x:c r="E69" s="12" t="n">
        <x:f>D69*'Site Inputs'!C7</x:f>
        <x:v>750000</x:v>
      </x:c>
      <x:c r="F69" s="12" t="n">
        <x:f>'Scale Inputs'!C4*'Site Inputs'!H7</x:f>
        <x:v>1710000</x:v>
      </x:c>
      <x:c r="G69" s="12" t="n">
        <x:f>E69+F69</x:f>
        <x:v>2460000</x:v>
      </x:c>
      <x:c r="H69" s="12" t="n">
        <x:f>B69*0.8*8760*'Site Inputs'!E7*'Site Inputs'!D7</x:f>
        <x:v>52560</x:v>
      </x:c>
      <x:c r="I69" s="12" t="n">
        <x:f>'Scale Inputs'!D4*'Site Inputs'!F7*2080*1.4</x:f>
        <x:v>174720</x:v>
      </x:c>
      <x:c r="J69" s="12" t="n">
        <x:f>'Scale Inputs'!E4*'Site Inputs'!G7*2080*1.4</x:f>
        <x:v>40768</x:v>
      </x:c>
      <x:c r="K69" s="12" t="n">
        <x:f>F69*2.5%</x:f>
        <x:v>42750</x:v>
      </x:c>
      <x:c r="L69" s="12" t="n">
        <x:f>E69*'Site Inputs'!I7</x:f>
        <x:v>9750</x:v>
      </x:c>
      <x:c r="M69" s="12" t="n">
        <x:f>'Scale Inputs'!F4</x:f>
        <x:v>54000</x:v>
      </x:c>
      <x:c r="N69" s="12" t="n">
        <x:f>SUM(H69:M69)</x:f>
        <x:v>374548</x:v>
      </x:c>
      <x:c r="O69" s="12" t="n">
        <x:f>E69*70%+F69*20%</x:f>
        <x:v>867000</x:v>
      </x:c>
      <x:c r="P69" s="12" t="n">
        <x:f>G69+N69*C69-O69</x:f>
        <x:v>5338480</x:v>
      </x:c>
      <x:c r="Q69" s="12" t="n">
        <x:f>B69*'Scale Inputs'!G4*12+'Scale Inputs'!H4</x:f>
        <x:v>474000</x:v>
      </x:c>
      <x:c r="R69" s="12" t="n">
        <x:f>Q69*C69</x:f>
        <x:v>4740000</x:v>
      </x:c>
      <x:c r="S69" s="12" t="n">
        <x:f>P69-R69</x:f>
        <x:v>598480</x:v>
      </x:c>
      <x:c r="T69" s="8" t="n">
        <x:f>IF(Q69&lt;=N69,"N/M",(G69-O69)/(Q69-N69))</x:f>
        <x:v>16.01777742026304</x:v>
      </x:c>
      <x:c r="U69" s="8"/>
      <x:c r="V69" s="8"/>
      <x:c r="W69" s="8"/>
      <x:c r="X69" s="8"/>
      <x:c r="Y69" s="8"/>
      <x:c r="Z69" s="8"/>
    </x:row>
    <x:row r="70" ht="15" hidden="0" customHeight="1">
      <x:c r="A70" s="8" t="str">
        <x:f>'Site Inputs'!A7</x:f>
        <x:v>Quincy / Central Washington</x:v>
      </x:c>
      <x:c r="B70" s="8" t="n">
        <x:f>'Scale Inputs'!A4</x:f>
        <x:v>100</x:v>
      </x:c>
      <x:c r="C70" s="8" t="n">
        <x:v>15</x:v>
      </x:c>
      <x:c r="D70" s="8" t="n">
        <x:f>'Scale Inputs'!B4</x:f>
        <x:v>6000</x:v>
      </x:c>
      <x:c r="E70" s="12" t="n">
        <x:f>D70*'Site Inputs'!C7</x:f>
        <x:v>750000</x:v>
      </x:c>
      <x:c r="F70" s="12" t="n">
        <x:f>'Scale Inputs'!C4*'Site Inputs'!H7</x:f>
        <x:v>1710000</x:v>
      </x:c>
      <x:c r="G70" s="12" t="n">
        <x:f>E70+F70</x:f>
        <x:v>2460000</x:v>
      </x:c>
      <x:c r="H70" s="12" t="n">
        <x:f>B70*0.8*8760*'Site Inputs'!E7*'Site Inputs'!D7</x:f>
        <x:v>52560</x:v>
      </x:c>
      <x:c r="I70" s="12" t="n">
        <x:f>'Scale Inputs'!D4*'Site Inputs'!F7*2080*1.4</x:f>
        <x:v>174720</x:v>
      </x:c>
      <x:c r="J70" s="12" t="n">
        <x:f>'Scale Inputs'!E4*'Site Inputs'!G7*2080*1.4</x:f>
        <x:v>40768</x:v>
      </x:c>
      <x:c r="K70" s="12" t="n">
        <x:f>F70*2.5%</x:f>
        <x:v>42750</x:v>
      </x:c>
      <x:c r="L70" s="12" t="n">
        <x:f>E70*'Site Inputs'!I7</x:f>
        <x:v>9750</x:v>
      </x:c>
      <x:c r="M70" s="12" t="n">
        <x:f>'Scale Inputs'!F4</x:f>
        <x:v>54000</x:v>
      </x:c>
      <x:c r="N70" s="12" t="n">
        <x:f>SUM(H70:M70)</x:f>
        <x:v>374548</x:v>
      </x:c>
      <x:c r="O70" s="12" t="n">
        <x:f>E70*70%+F70*20%</x:f>
        <x:v>867000</x:v>
      </x:c>
      <x:c r="P70" s="12" t="n">
        <x:f>G70+N70*C70-O70</x:f>
        <x:v>7211220</x:v>
      </x:c>
      <x:c r="Q70" s="12" t="n">
        <x:f>B70*'Scale Inputs'!G4*12+'Scale Inputs'!H4</x:f>
        <x:v>474000</x:v>
      </x:c>
      <x:c r="R70" s="12" t="n">
        <x:f>Q70*C70</x:f>
        <x:v>7110000</x:v>
      </x:c>
      <x:c r="S70" s="12" t="n">
        <x:f>P70-R70</x:f>
        <x:v>101220</x:v>
      </x:c>
      <x:c r="T70" s="8" t="n">
        <x:f>IF(Q70&lt;=N70,"N/M",(G70-O70)/(Q70-N70))</x:f>
        <x:v>16.01777742026304</x:v>
      </x:c>
      <x:c r="U70" s="8"/>
      <x:c r="V70" s="8"/>
      <x:c r="W70" s="8"/>
      <x:c r="X70" s="8"/>
      <x:c r="Y70" s="8"/>
      <x:c r="Z70" s="8"/>
    </x:row>
    <x:row r="71" ht="15" hidden="0" customHeight="1">
      <x:c r="A71" s="8" t="str">
        <x:f>'Site Inputs'!A7</x:f>
        <x:v>Quincy / Central Washington</x:v>
      </x:c>
      <x:c r="B71" s="8" t="n">
        <x:f>'Scale Inputs'!A5</x:f>
        <x:v>250</x:v>
      </x:c>
      <x:c r="C71" s="8" t="n">
        <x:v>5</x:v>
      </x:c>
      <x:c r="D71" s="8" t="n">
        <x:f>'Scale Inputs'!B5</x:f>
        <x:v>9000</x:v>
      </x:c>
      <x:c r="E71" s="12" t="n">
        <x:f>D71*'Site Inputs'!C7</x:f>
        <x:v>1125000</x:v>
      </x:c>
      <x:c r="F71" s="12" t="n">
        <x:f>'Scale Inputs'!C5*'Site Inputs'!H7</x:f>
        <x:v>2850000</x:v>
      </x:c>
      <x:c r="G71" s="12" t="n">
        <x:f>E71+F71</x:f>
        <x:v>3975000</x:v>
      </x:c>
      <x:c r="H71" s="12" t="n">
        <x:f>B71*0.8*8760*'Site Inputs'!E7*'Site Inputs'!D7</x:f>
        <x:v>131400</x:v>
      </x:c>
      <x:c r="I71" s="12" t="n">
        <x:f>'Scale Inputs'!D5*'Site Inputs'!F7*2080*1.4</x:f>
        <x:v>262079.99999999997</x:v>
      </x:c>
      <x:c r="J71" s="12" t="n">
        <x:f>'Scale Inputs'!E5*'Site Inputs'!G7*2080*1.4</x:f>
        <x:v>61151.99999999999</x:v>
      </x:c>
      <x:c r="K71" s="12" t="n">
        <x:f>F71*2.5%</x:f>
        <x:v>71250</x:v>
      </x:c>
      <x:c r="L71" s="12" t="n">
        <x:f>E71*'Site Inputs'!I7</x:f>
        <x:v>14625</x:v>
      </x:c>
      <x:c r="M71" s="12" t="n">
        <x:f>'Scale Inputs'!F5</x:f>
        <x:v>72000</x:v>
      </x:c>
      <x:c r="N71" s="12" t="n">
        <x:f>SUM(H71:M71)</x:f>
        <x:v>612507</x:v>
      </x:c>
      <x:c r="O71" s="12" t="n">
        <x:f>E71*70%+F71*20%</x:f>
        <x:v>1357500</x:v>
      </x:c>
      <x:c r="P71" s="12" t="n">
        <x:f>G71+N71*C71-O71</x:f>
        <x:v>5680035</x:v>
      </x:c>
      <x:c r="Q71" s="12" t="n">
        <x:f>B71*'Scale Inputs'!G5*12+'Scale Inputs'!H5</x:f>
        <x:v>1122000</x:v>
      </x:c>
      <x:c r="R71" s="12" t="n">
        <x:f>Q71*C71</x:f>
        <x:v>5610000</x:v>
      </x:c>
      <x:c r="S71" s="12" t="n">
        <x:f>P71-R71</x:f>
        <x:v>70035</x:v>
      </x:c>
      <x:c r="T71" s="8" t="n">
        <x:f>IF(Q71&lt;=N71,"N/M",(G71-O71)/(Q71-N71))</x:f>
        <x:v>5.137460181003468</x:v>
      </x:c>
      <x:c r="U71" s="8"/>
      <x:c r="V71" s="8"/>
      <x:c r="W71" s="8"/>
      <x:c r="X71" s="8"/>
      <x:c r="Y71" s="8"/>
      <x:c r="Z71" s="8"/>
    </x:row>
    <x:row r="72" ht="15" hidden="0" customHeight="1">
      <x:c r="A72" s="8" t="str">
        <x:f>'Site Inputs'!A7</x:f>
        <x:v>Quincy / Central Washington</x:v>
      </x:c>
      <x:c r="B72" s="8" t="n">
        <x:f>'Scale Inputs'!A5</x:f>
        <x:v>250</x:v>
      </x:c>
      <x:c r="C72" s="8" t="n">
        <x:v>10</x:v>
      </x:c>
      <x:c r="D72" s="8" t="n">
        <x:f>'Scale Inputs'!B5</x:f>
        <x:v>9000</x:v>
      </x:c>
      <x:c r="E72" s="12" t="n">
        <x:f>D72*'Site Inputs'!C7</x:f>
        <x:v>1125000</x:v>
      </x:c>
      <x:c r="F72" s="12" t="n">
        <x:f>'Scale Inputs'!C5*'Site Inputs'!H7</x:f>
        <x:v>2850000</x:v>
      </x:c>
      <x:c r="G72" s="12" t="n">
        <x:f>E72+F72</x:f>
        <x:v>3975000</x:v>
      </x:c>
      <x:c r="H72" s="12" t="n">
        <x:f>B72*0.8*8760*'Site Inputs'!E7*'Site Inputs'!D7</x:f>
        <x:v>131400</x:v>
      </x:c>
      <x:c r="I72" s="12" t="n">
        <x:f>'Scale Inputs'!D5*'Site Inputs'!F7*2080*1.4</x:f>
        <x:v>262079.99999999997</x:v>
      </x:c>
      <x:c r="J72" s="12" t="n">
        <x:f>'Scale Inputs'!E5*'Site Inputs'!G7*2080*1.4</x:f>
        <x:v>61151.99999999999</x:v>
      </x:c>
      <x:c r="K72" s="12" t="n">
        <x:f>F72*2.5%</x:f>
        <x:v>71250</x:v>
      </x:c>
      <x:c r="L72" s="12" t="n">
        <x:f>E72*'Site Inputs'!I7</x:f>
        <x:v>14625</x:v>
      </x:c>
      <x:c r="M72" s="12" t="n">
        <x:f>'Scale Inputs'!F5</x:f>
        <x:v>72000</x:v>
      </x:c>
      <x:c r="N72" s="12" t="n">
        <x:f>SUM(H72:M72)</x:f>
        <x:v>612507</x:v>
      </x:c>
      <x:c r="O72" s="12" t="n">
        <x:f>E72*70%+F72*20%</x:f>
        <x:v>1357500</x:v>
      </x:c>
      <x:c r="P72" s="12" t="n">
        <x:f>G72+N72*C72-O72</x:f>
        <x:v>8742570</x:v>
      </x:c>
      <x:c r="Q72" s="12" t="n">
        <x:f>B72*'Scale Inputs'!G5*12+'Scale Inputs'!H5</x:f>
        <x:v>1122000</x:v>
      </x:c>
      <x:c r="R72" s="12" t="n">
        <x:f>Q72*C72</x:f>
        <x:v>11220000</x:v>
      </x:c>
      <x:c r="S72" s="12" t="n">
        <x:f>P72-R72</x:f>
        <x:v>-2477430</x:v>
      </x:c>
      <x:c r="T72" s="8" t="n">
        <x:f>IF(Q72&lt;=N72,"N/M",(G72-O72)/(Q72-N72))</x:f>
        <x:v>5.137460181003468</x:v>
      </x:c>
      <x:c r="U72" s="8"/>
      <x:c r="V72" s="8"/>
      <x:c r="W72" s="8"/>
      <x:c r="X72" s="8"/>
      <x:c r="Y72" s="8"/>
      <x:c r="Z72" s="8"/>
    </x:row>
    <x:row r="73" ht="15" hidden="0" customHeight="1">
      <x:c r="A73" s="8" t="str">
        <x:f>'Site Inputs'!A7</x:f>
        <x:v>Quincy / Central Washington</x:v>
      </x:c>
      <x:c r="B73" s="8" t="n">
        <x:f>'Scale Inputs'!A5</x:f>
        <x:v>250</x:v>
      </x:c>
      <x:c r="C73" s="8" t="n">
        <x:v>15</x:v>
      </x:c>
      <x:c r="D73" s="8" t="n">
        <x:f>'Scale Inputs'!B5</x:f>
        <x:v>9000</x:v>
      </x:c>
      <x:c r="E73" s="12" t="n">
        <x:f>D73*'Site Inputs'!C7</x:f>
        <x:v>1125000</x:v>
      </x:c>
      <x:c r="F73" s="12" t="n">
        <x:f>'Scale Inputs'!C5*'Site Inputs'!H7</x:f>
        <x:v>2850000</x:v>
      </x:c>
      <x:c r="G73" s="12" t="n">
        <x:f>E73+F73</x:f>
        <x:v>3975000</x:v>
      </x:c>
      <x:c r="H73" s="12" t="n">
        <x:f>B73*0.8*8760*'Site Inputs'!E7*'Site Inputs'!D7</x:f>
        <x:v>131400</x:v>
      </x:c>
      <x:c r="I73" s="12" t="n">
        <x:f>'Scale Inputs'!D5*'Site Inputs'!F7*2080*1.4</x:f>
        <x:v>262079.99999999997</x:v>
      </x:c>
      <x:c r="J73" s="12" t="n">
        <x:f>'Scale Inputs'!E5*'Site Inputs'!G7*2080*1.4</x:f>
        <x:v>61151.99999999999</x:v>
      </x:c>
      <x:c r="K73" s="12" t="n">
        <x:f>F73*2.5%</x:f>
        <x:v>71250</x:v>
      </x:c>
      <x:c r="L73" s="12" t="n">
        <x:f>E73*'Site Inputs'!I7</x:f>
        <x:v>14625</x:v>
      </x:c>
      <x:c r="M73" s="12" t="n">
        <x:f>'Scale Inputs'!F5</x:f>
        <x:v>72000</x:v>
      </x:c>
      <x:c r="N73" s="12" t="n">
        <x:f>SUM(H73:M73)</x:f>
        <x:v>612507</x:v>
      </x:c>
      <x:c r="O73" s="12" t="n">
        <x:f>E73*70%+F73*20%</x:f>
        <x:v>1357500</x:v>
      </x:c>
      <x:c r="P73" s="12" t="n">
        <x:f>G73+N73*C73-O73</x:f>
        <x:v>11805105</x:v>
      </x:c>
      <x:c r="Q73" s="12" t="n">
        <x:f>B73*'Scale Inputs'!G5*12+'Scale Inputs'!H5</x:f>
        <x:v>1122000</x:v>
      </x:c>
      <x:c r="R73" s="12" t="n">
        <x:f>Q73*C73</x:f>
        <x:v>16830000</x:v>
      </x:c>
      <x:c r="S73" s="12" t="n">
        <x:f>P73-R73</x:f>
        <x:v>-5024895</x:v>
      </x:c>
      <x:c r="T73" s="8" t="n">
        <x:f>IF(Q73&lt;=N73,"N/M",(G73-O73)/(Q73-N73))</x:f>
        <x:v>5.137460181003468</x:v>
      </x:c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conditionalFormatting sqref="S2:S73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1299991607666" hidden="0" customWidth="1"/>
    <x:col min="2" max="2" width="11" hidden="0" customWidth="1"/>
    <x:col min="3" max="3" width="9.880000114440918" hidden="0" customWidth="1"/>
    <x:col min="4" max="4" width="9.880000114440918" hidden="0" customWidth="1"/>
    <x:col min="5" max="5" width="9.880000114440918" hidden="0" customWidth="1"/>
    <x:col min="6" max="6" width="10.630000114440918" hidden="0" customWidth="1"/>
  </x:cols>
  <x:sheetData>
    <x:row r="1" ht="15" hidden="0" customHeight="1">
      <x:c r="A1" s="4" t="str">
        <x:v>Scenario</x:v>
      </x:c>
      <x:c r="B1" s="4" t="str">
        <x:v>Reno / Storey</x:v>
      </x:c>
      <x:c r="C1" s="4" t="str">
        <x:v>Sacramento</x:v>
      </x:c>
      <x:c r="D1" s="4" t="str">
        <x:v>Boise</x:v>
      </x:c>
      <x:c r="E1" s="4" t="str">
        <x:v>Las Vegas</x:v>
      </x:c>
      <x:c r="F1" s="4" t="str">
        <x:v>Salt Lake City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100 kW / 10-year owned TCO</x:v>
      </x:c>
      <x:c r="B2" s="12" t="n">
        <x:f>'TCO Model'!P9</x:f>
        <x:v>6146056</x:v>
      </x:c>
      <x:c r="C2" s="12" t="n">
        <x:f>'TCO Model'!P21</x:f>
        <x:v>6988207.2</x:v>
      </x:c>
      <x:c r="D2" s="12" t="n">
        <x:f>'TCO Model'!P33</x:f>
        <x:v>5489080</x:v>
      </x:c>
      <x:c r="E2" s="12" t="n">
        <x:f>'TCO Model'!P45</x:f>
        <x:v>6006859.2</x:v>
      </x:c>
      <x:c r="F2" s="12" t="n">
        <x:f>'TCO Model'!P57</x:f>
        <x:v>5816512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100 kW / 10-year colo TCO</x:v>
      </x:c>
      <x:c r="B3" s="12" t="n">
        <x:f>'TCO Model'!R9</x:f>
        <x:v>4740000</x:v>
      </x:c>
      <x:c r="C3" s="12" t="n">
        <x:f>'TCO Model'!R21</x:f>
        <x:v>4740000</x:v>
      </x:c>
      <x:c r="D3" s="12" t="n">
        <x:f>'TCO Model'!R33</x:f>
        <x:v>4740000</x:v>
      </x:c>
      <x:c r="E3" s="12" t="n">
        <x:f>'TCO Model'!R45</x:f>
        <x:v>4740000</x:v>
      </x:c>
      <x:c r="F3" s="12" t="n">
        <x:f>'TCO Model'!R57</x:f>
        <x:v>4740000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250 kW / 10-year owned TCO</x:v>
      </x:c>
      <x:c r="B4" s="12" t="n">
        <x:f>'TCO Model'!P12</x:f>
        <x:v>10390164</x:v>
      </x:c>
      <x:c r="C4" s="12" t="n">
        <x:f>'TCO Model'!P24</x:f>
        <x:v>12128128.8</x:v>
      </x:c>
      <x:c r="D4" s="12" t="n">
        <x:f>'TCO Model'!P36</x:f>
        <x:v>9116700</x:v>
      </x:c>
      <x:c r="E4" s="12" t="n">
        <x:f>'TCO Model'!P48</x:f>
        <x:v>10187668.799999999</x:v>
      </x:c>
      <x:c r="F4" s="12" t="n">
        <x:f>'TCO Model'!P60</x:f>
        <x:v>9700332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250 kW / 10-year colo TCO</x:v>
      </x:c>
      <x:c r="B5" s="12" t="n">
        <x:f>'TCO Model'!R12</x:f>
        <x:v>11220000</x:v>
      </x:c>
      <x:c r="C5" s="12" t="n">
        <x:f>'TCO Model'!R24</x:f>
        <x:v>11220000</x:v>
      </x:c>
      <x:c r="D5" s="12" t="n">
        <x:f>'TCO Model'!R36</x:f>
        <x:v>11220000</x:v>
      </x:c>
      <x:c r="E5" s="12" t="n">
        <x:f>'TCO Model'!R48</x:f>
        <x:v>11220000</x:v>
      </x:c>
      <x:c r="F5" s="12" t="n">
        <x:f>'TCO Model'!R60</x:f>
        <x:v>11220000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250 kW approximate breakeven</x:v>
      </x:c>
      <x:c r="B6" s="14" t="n">
        <x:f>'TCO Model'!T12</x:f>
        <x:v>7.766758274584777</x:v>
      </x:c>
      <x:c r="C6" s="14" t="n">
        <x:f>'TCO Model'!T24</x:f>
        <x:v>14.023839729976624</x:v>
      </x:c>
      <x:c r="D6" s="14" t="n">
        <x:f>'TCO Model'!T36</x:f>
        <x:v>5.578329969727548</x:v>
      </x:c>
      <x:c r="E6" s="14" t="n">
        <x:f>'TCO Model'!T48</x:f>
        <x:v>7.406093002135365</x:v>
      </x:c>
      <x:c r="F6" s="14" t="n">
        <x:f>'TCO Model'!T60</x:f>
        <x:v>6.5126576875521485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5.5" hidden="0" customWidth="1"/>
    <x:col min="3" max="3" width="19.1299991607666" hidden="0" customWidth="1"/>
    <x:col min="4" max="4" width="15.5" hidden="0" customWidth="1"/>
    <x:col min="5" max="5" width="19.1299991607666" hidden="0" customWidth="1"/>
  </x:cols>
  <x:sheetData>
    <x:row r="1" ht="15" hidden="0" customHeight="1">
      <x:c r="A1" s="4" t="str">
        <x:v>Colo $/kW-mo</x:v>
      </x:c>
      <x:c r="B1" s="4" t="str">
        <x:v>100 kW annual colo</x:v>
      </x:c>
      <x:c r="C1" s="4" t="str">
        <x:v>100 kW breakeven years</x:v>
      </x:c>
      <x:c r="D1" s="4" t="str">
        <x:v>250 kW annual colo</x:v>
      </x:c>
      <x:c r="E1" s="4" t="str">
        <x:v>250 kW breakeven years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n">
        <x:v>250</x:v>
      </x:c>
      <x:c r="B2" s="12" t="n">
        <x:f>100*A2*12+54000</x:f>
        <x:v>354000</x:v>
      </x:c>
      <x:c r="C2" s="14" t="str">
        <x:f>IF(B2&lt;='TCO Model'!N9,"N/M",('TCO Model'!G9-'TCO Model'!O9)/(B2-'TCO Model'!N9))</x:f>
        <x:v>N/M</x:v>
      </x:c>
      <x:c r="D2" s="12" t="n">
        <x:f>250*A2*12+72000</x:f>
        <x:v>822000</x:v>
      </x:c>
      <x:c r="E2" s="14" t="n">
        <x:f>IF(D2&lt;='TCO Model'!N12,"N/M",('TCO Model'!G12-'TCO Model'!O12)/(D2-'TCO Model'!N12))</x:f>
        <x:v>40.31649707474898</x:v>
      </x:c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n">
        <x:v>300</x:v>
      </x:c>
      <x:c r="B3" s="12" t="n">
        <x:f>100*A3*12+54000</x:f>
        <x:v>414000</x:v>
      </x:c>
      <x:c r="C3" s="14" t="str">
        <x:f>IF(B3&lt;='TCO Model'!N9,"N/M",('TCO Model'!G9-'TCO Model'!O9)/(B3-'TCO Model'!N9))</x:f>
        <x:v>N/M</x:v>
      </x:c>
      <x:c r="D3" s="12" t="n">
        <x:f>250*A3*12+72000</x:f>
        <x:v>972000</x:v>
      </x:c>
      <x:c r="E3" s="14" t="n">
        <x:f>IF(D3&lt;='TCO Model'!N12,"N/M",('TCO Model'!G12-'TCO Model'!O12)/(D3-'TCO Model'!N12))</x:f>
        <x:v>13.024429605801153</x:v>
      </x:c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n">
        <x:v>350</x:v>
      </x:c>
      <x:c r="B4" s="12" t="n">
        <x:f>100*A4*12+54000</x:f>
        <x:v>474000</x:v>
      </x:c>
      <x:c r="C4" s="14" t="n">
        <x:f>IF(B4&lt;='TCO Model'!N9,"N/M",('TCO Model'!G9-'TCO Model'!O9)/(B4-'TCO Model'!N9))</x:f>
        <x:v>49.28145184721629</x:v>
      </x:c>
      <x:c r="D4" s="12" t="n">
        <x:f>250*A4*12+72000</x:f>
        <x:v>1122000</x:v>
      </x:c>
      <x:c r="E4" s="14" t="n">
        <x:f>IF(D4&lt;='TCO Model'!N12,"N/M",('TCO Model'!G12-'TCO Model'!O12)/(D4-'TCO Model'!N12))</x:f>
        <x:v>7.766758274584777</x:v>
      </x:c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n">
        <x:v>400</x:v>
      </x:c>
      <x:c r="B5" s="12" t="n">
        <x:f>100*A5*12+54000</x:f>
        <x:v>534000</x:v>
      </x:c>
      <x:c r="C5" s="14" t="n">
        <x:f>IF(B5&lt;='TCO Model'!N9,"N/M",('TCO Model'!G9-'TCO Model'!O9)/(B5-'TCO Model'!N9))</x:f>
        <x:v>18.414437587165843</x:v>
      </x:c>
      <x:c r="D5" s="12" t="n">
        <x:f>250*A5*12+72000</x:f>
        <x:v>1272000</x:v>
      </x:c>
      <x:c r="E5" s="14" t="n">
        <x:f>IF(D5&lt;='TCO Model'!N12,"N/M",('TCO Model'!G12-'TCO Model'!O12)/(D5-'TCO Model'!N12))</x:f>
        <x:v>5.533149431845634</x:v>
      </x:c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n">
        <x:v>500</x:v>
      </x:c>
      <x:c r="B6" s="12" t="n">
        <x:f>100*A6*12+54000</x:f>
        <x:v>654000</x:v>
      </x:c>
      <x:c r="C6" s="14" t="n">
        <x:f>IF(B6&lt;='TCO Model'!N9,"N/M",('TCO Model'!G9-'TCO Model'!O9)/(B6-'TCO Model'!N9))</x:f>
        <x:v>8.174447529685663</x:v>
      </x:c>
      <x:c r="D6" s="12" t="n">
        <x:f>250*A6*12+72000</x:f>
        <x:v>1572000</x:v>
      </x:c>
      <x:c r="E6" s="14" t="n">
        <x:f>IF(D6&lt;='TCO Model'!N12,"N/M",('TCO Model'!G12-'TCO Model'!O12)/(D6-'TCO Model'!N12))</x:f>
        <x:v>3.512728345599888</x:v>
      </x:c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n">
        <x:v>600</x:v>
      </x:c>
      <x:c r="B7" s="12" t="n">
        <x:f>100*A7*12+54000</x:f>
        <x:v>774000</x:v>
      </x:c>
      <x:c r="C7" s="14" t="n">
        <x:f>IF(B7&lt;='TCO Model'!N9,"N/M",('TCO Model'!G9-'TCO Model'!O9)/(B7-'TCO Model'!N9))</x:f>
        <x:v>5.2532144669476315</x:v>
      </x:c>
      <x:c r="D7" s="12" t="n">
        <x:f>250*A7*12+72000</x:f>
        <x:v>1872000</x:v>
      </x:c>
      <x:c r="E7" s="14" t="n">
        <x:f>IF(D7&lt;='TCO Model'!N12,"N/M",('TCO Model'!G12-'TCO Model'!O12)/(D7-'TCO Model'!N12))</x:f>
        <x:v>2.573147467562828</x:v>
      </x:c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50" hidden="0" customWidth="1"/>
    <x:col min="3" max="3" width="36" hidden="0" customWidth="1"/>
  </x:cols>
  <x:sheetData>
    <x:row r="1" ht="15" hidden="0" customHeight="1">
      <x:c r="A1" s="4" t="str">
        <x:v>Source</x:v>
      </x:c>
      <x:c r="B1" s="4" t="str">
        <x:v>URL</x:v>
      </x:c>
      <x:c r="C1" s="4" t="str">
        <x:v>Used for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5" hidden="0" customHeight="1">
      <x:c r="A2" s="8" t="str">
        <x:v>SABLE HARBOR service operating model</x:v>
      </x:c>
      <x:c r="B2" s="8" t="str">
        <x:v>https://github.com/SquirmyWormy275/SABLEHARBOR/blob/2b52933132e028bf5d9c9a8c151bb45cb0f19597/enterprise/services/generated/REPORT.md</x:v>
      </x:c>
      <x:c r="C2" s="8" t="str">
        <x:v>Existing architecture/cost boundary</x:v>
      </x:c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5" hidden="0" customHeight="1">
      <x:c r="A3" s="8" t="str">
        <x:v>SABLE HARBOR operating assumptions</x:v>
      </x:c>
      <x:c r="B3" s="8" t="str">
        <x:v>https://github.com/SquirmyWormy275/SABLEHARBOR/blob/2b52933132e028bf5d9c9a8c151bb45cb0f19597/enterprise/services/docs/OPERATING_ASSUMPTIONS_AND_GATES.md</x:v>
      </x:c>
      <x:c r="C3" s="8" t="str">
        <x:v>Restricted workload envelope, recovery and staffing rules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5" hidden="0" customHeight="1">
      <x:c r="A4" s="8" t="str">
        <x:v>Nevada GOED incentives</x:v>
      </x:c>
      <x:c r="B4" s="8" t="str">
        <x:v>https://goed.nv.gov/incentives/</x:v>
      </x:c>
      <x:c r="C4" s="8" t="str">
        <x:v>Nevada abatements and thresholds</x:v>
      </x:c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5" hidden="0" customHeight="1">
      <x:c r="A5" s="8" t="str">
        <x:v>Nevada standard abatements Feb. 2026</x:v>
      </x:c>
      <x:c r="B5" s="8" t="str">
        <x:v>https://goed.nv.gov/wp-content/uploads/2026/02/Nevada-Standard-Tax-Abatement-Feb-2026.pdf</x:v>
      </x:c>
      <x:c r="C5" s="8" t="str">
        <x:v>Small-project incentive eligibility</x:v>
      </x:c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5" hidden="0" customHeight="1">
      <x:c r="A6" s="8" t="str">
        <x:v>NV Energy pricing</x:v>
      </x:c>
      <x:c r="B6" s="8" t="str">
        <x:v>https://www.nvenergy.com/account-services/energy-pricing-plans</x:v>
      </x:c>
      <x:c r="C6" s="8" t="str">
        <x:v>Nevada rate context</x:v>
      </x:c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5" hidden="0" customHeight="1">
      <x:c r="A7" s="8" t="str">
        <x:v>SMUD business rates</x:v>
      </x:c>
      <x:c r="B7" s="8" t="str">
        <x:v>https://www.smud.org/Rate-Information/Business-rates</x:v>
      </x:c>
      <x:c r="C7" s="8" t="str">
        <x:v>Sacramento electricity</x:v>
      </x:c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5" hidden="0" customHeight="1">
      <x:c r="A8" s="8" t="str">
        <x:v>Idaho Power Schedule 9</x:v>
      </x:c>
      <x:c r="B8" s="8" t="str">
        <x:v>https://www.idahopower.com/accounts-service/understand-your-bill/pricing/idaho-pricing/business/schedule-9/</x:v>
      </x:c>
      <x:c r="C8" s="8" t="str">
        <x:v>Boise electricity</x:v>
      </x:c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5" hidden="0" customHeight="1">
      <x:c r="A9" s="8" t="str">
        <x:v>Rocky Mountain Power Utah Price Summary</x:v>
      </x:c>
      <x:c r="B9" s="8" t="str">
        <x:v>https://www.rockymountainpower.net/content/dam/pcorp/documents/en/rockymountainpower/rates-regulation/utah/Utah_Price_Summary.pdf</x:v>
      </x:c>
      <x:c r="C9" s="8" t="str">
        <x:v>Salt Lake electricity</x:v>
      </x:c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5" hidden="0" customHeight="1">
      <x:c r="A10" s="8" t="str">
        <x:v>Colliers Reno Q2 2026</x:v>
      </x:c>
      <x:c r="B10" s="8" t="str">
        <x:v>https://www.colliers.com/en/research/reno/colliers-reno-industrial-market-report-2026-q2</x:v>
      </x:c>
      <x:c r="C10" s="8" t="str">
        <x:v>Reno industrial rent/vacancy</x:v>
      </x:c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5" hidden="0" customHeight="1">
      <x:c r="A11" s="8" t="str">
        <x:v>CBRE Sacramento Q2 2026</x:v>
      </x:c>
      <x:c r="B11" s="8" t="str">
        <x:v>https://www.cbre.com/insights/figures/sacramento-industrial-figures-q2-2026</x:v>
      </x:c>
      <x:c r="C11" s="8" t="str">
        <x:v>Sacramento industrial rent/vacancy</x:v>
      </x:c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5" hidden="0" customHeight="1">
      <x:c r="A12" s="8" t="str">
        <x:v>CBRE Boise Q2 2026</x:v>
      </x:c>
      <x:c r="B12" s="8" t="str">
        <x:v>https://www.cbre.com/insights/figures/boise-industrial-figures-q2-2026</x:v>
      </x:c>
      <x:c r="C12" s="8" t="str">
        <x:v>Boise industrial rent/vacancy</x:v>
      </x:c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5" hidden="0" customHeight="1">
      <x:c r="A13" s="8" t="str">
        <x:v>Colliers Las Vegas Q2 2026</x:v>
      </x:c>
      <x:c r="B13" s="8" t="str">
        <x:v>https://www.colliers.com/en/research/las-vegas/las-vegas-industrial-market-report-2026-q2</x:v>
      </x:c>
      <x:c r="C13" s="8" t="str">
        <x:v>Las Vegas industrial rent/vacancy</x:v>
      </x:c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5" hidden="0" customHeight="1">
      <x:c r="A14" s="8" t="str">
        <x:v>Colliers Salt Lake Q2 2026</x:v>
      </x:c>
      <x:c r="B14" s="8" t="str">
        <x:v>https://www.colliers.com/en/research/salt-lake-city/q2-2026-salt-lake-county-industrial</x:v>
      </x:c>
      <x:c r="C14" s="8" t="str">
        <x:v>Salt Lake industrial rent/vacancy</x:v>
      </x:c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5" hidden="0" customHeight="1">
      <x:c r="A15" s="8" t="str">
        <x:v>BLS Reno May 2025</x:v>
      </x:c>
      <x:c r="B15" s="8" t="str">
        <x:v>https://www.bls.gov/regions/west/news-release/occupationalemploymentandwages_reno.htm</x:v>
      </x:c>
      <x:c r="C15" s="8" t="str">
        <x:v>Labor rates</x:v>
      </x:c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5" hidden="0" customHeight="1">
      <x:c r="A16" s="8" t="str">
        <x:v>BLS Sacramento May 2025</x:v>
      </x:c>
      <x:c r="B16" s="8" t="str">
        <x:v>https://www.bls.gov/regions/west/news-release/occupationalemploymentandwages_sacramento.htm</x:v>
      </x:c>
      <x:c r="C16" s="8" t="str">
        <x:v>Labor rates</x:v>
      </x:c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5" hidden="0" customHeight="1">
      <x:c r="A17" s="8" t="str">
        <x:v>BLS Boise May 2025</x:v>
      </x:c>
      <x:c r="B17" s="8" t="str">
        <x:v>https://www.bls.gov/regions/west/news-release/2026/occupationalemploymentandwages_boisecity_20260626.htm</x:v>
      </x:c>
      <x:c r="C17" s="8" t="str">
        <x:v>Labor rates</x:v>
      </x:c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5" hidden="0" customHeight="1">
      <x:c r="A18" s="8" t="str">
        <x:v>BLS Las Vegas May 2025</x:v>
      </x:c>
      <x:c r="B18" s="8" t="str">
        <x:v>https://www.bls.gov/regions/west/news-release/occupationalemploymentandwages_lasvegas.htm</x:v>
      </x:c>
      <x:c r="C18" s="8" t="str">
        <x:v>Labor rates</x:v>
      </x:c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5" hidden="0" customHeight="1">
      <x:c r="A19" s="8" t="str">
        <x:v>BLS Salt Lake May 2025</x:v>
      </x:c>
      <x:c r="B19" s="8" t="str">
        <x:v>https://www.bls.gov/regions/mountain-plains/news-release/occupationalemploymentandwages_saltlakecity.htm</x:v>
      </x:c>
      <x:c r="C19" s="8" t="str">
        <x:v>Labor rates</x:v>
      </x:c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5" hidden="0" customHeight="1">
      <x:c r="A20" s="8" t="str">
        <x:v>Turner &amp; Townsend DC Cost Index 2025-26</x:v>
      </x:c>
      <x:c r="B20" s="8" t="str">
        <x:v>https://www.turnerandtownsend.com/en-us/insights/data-center-construction-cost-index-2025-2026/</x:v>
      </x:c>
      <x:c r="C20" s="8" t="str">
        <x:v>Construction benchmark</x:v>
      </x:c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5" hidden="0" customHeight="1">
      <x:c r="A21" s="8" t="str">
        <x:v>Vertiv SmartMod</x:v>
      </x:c>
      <x:c r="B21" s="8" t="str">
        <x:v>https://www.vertiv.com/en-us/products-catalog/facilities-enclosures-and-racks/integrated-solutions/smartmod-infrastructure2/</x:v>
      </x:c>
      <x:c r="C21" s="8" t="str">
        <x:v>Small modular facility feasibility</x:v>
      </x:c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5" hidden="0" customHeight="1">
      <x:c r="A22" s="8" t="str">
        <x:v>Washington DOR data center incentives</x:v>
      </x:c>
      <x:c r="B22" s="8" t="str">
        <x:v>https://dor.wa.gov/taxes-rates/tax-incentives/tax-incentive-programs</x:v>
      </x:c>
      <x:c r="C22" s="8" t="str">
        <x:v>WA incentive thresholds</x:v>
      </x:c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</x:sheetData>
  <x:pageMargins left="0.7" right="0.7" top="0.75" bottom="0.75" header="0.3" footer="0.3"/>
</x:worksheet>
</file>