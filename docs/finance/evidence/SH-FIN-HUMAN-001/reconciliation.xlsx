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" sheetId="1" r:id="rId1"/>
    <sheet name="Movements" sheetId="2" r:id="rId2"/>
    <sheet name="Journal" sheetId="3" r:id="rId3"/>
    <sheet name="Terms and credits" sheetId="4" r:id="rId4"/>
    <sheet name="Source register" sheetId="5" r:id="rId5"/>
  </sheets>
  <definedNames>
    <definedName name="_xlnm.Print_Area" localSheetId="2">Journal!$A$1:$F$17</definedName>
    <definedName name="_xlnm.Print_Area" localSheetId="1">Movements!$A$1:$F$9</definedName>
    <definedName name="_xlnm.Print_Area" localSheetId="0">Reconciliation!$A$1:$C$17</definedName>
    <definedName name="_xlnm.Print_Area" localSheetId="4">'Source register'!$A$1:$B$14</definedName>
    <definedName name="_xlnm.Print_Area" localSheetId="3">'Terms and credits'!$A$1:$E$11</definedName>
    <definedName name="_xlnm.Print_Titles" localSheetId="2">Journal!$1:$4</definedName>
    <definedName name="_xlnm.Print_Titles" localSheetId="1">Movements!$1:$4</definedName>
    <definedName name="_xlnm.Print_Titles" localSheetId="0">Reconciliation!$1:$4</definedName>
    <definedName name="_xlnm.Print_Titles" localSheetId="4">'Source register'!$1:$4</definedName>
    <definedName name="_xlnm.Print_Titles" localSheetId="3">'Terms and credits'!$1:$4</definedName>
  </definedNames>
  <calcPr calcId="124519" fullCalcOnLoad="1"/>
</workbook>
</file>

<file path=xl/sharedStrings.xml><?xml version="1.0" encoding="utf-8"?>
<sst xmlns="http://schemas.openxmlformats.org/spreadsheetml/2006/main" count="154" uniqueCount="107">
  <si>
    <t>SABLE HARBOR / Reconciliation</t>
  </si>
  <si>
    <t>DRAFT • Synthetic 2027 / base • INV-base-FF-003-TERM-0</t>
  </si>
  <si>
    <t>Measure</t>
  </si>
  <si>
    <t>USD</t>
  </si>
  <si>
    <t>Meaning</t>
  </si>
  <si>
    <t>Original invoice</t>
  </si>
  <si>
    <t>Annual subscription billing; not cash or earned revenue.</t>
  </si>
  <si>
    <t>Receipt before writeoff</t>
  </si>
  <si>
    <t>Modeled receipt in February.</t>
  </si>
  <si>
    <t>Writeoff</t>
  </si>
  <si>
    <t>Removed from AR in June.</t>
  </si>
  <si>
    <t>Closing ledger AR</t>
  </si>
  <si>
    <t>Zero does not mean the original invoice was paid.</t>
  </si>
  <si>
    <t>Credits against written-off claim</t>
  </si>
  <si>
    <t>July service credit and August contraction; no cash refund.</t>
  </si>
  <si>
    <t>Recovery after writeoff</t>
  </si>
  <si>
    <t>October recovery is included in total collected below.</t>
  </si>
  <si>
    <t>Total collected</t>
  </si>
  <si>
    <t>Receipt plus recovery; do not add recovery a second time.</t>
  </si>
  <si>
    <t>Surviving written-off claim</t>
  </si>
  <si>
    <t>Derived claim remainder; not an asset recognized by this packet.</t>
  </si>
  <si>
    <t>AR check</t>
  </si>
  <si>
    <t>Must equal zero.</t>
  </si>
  <si>
    <t>Collection check</t>
  </si>
  <si>
    <t>Scope: invoice-specific billing, collection, writeoff and credits. Contract-wide revenue recognition and pooled allowance close are outside this packet. No bank statement, signed agreement, tax invoice or payment instruction is supplied.</t>
  </si>
  <si>
    <t>SABLE HARBOR / Movements</t>
  </si>
  <si>
    <t>Period</t>
  </si>
  <si>
    <t>Action</t>
  </si>
  <si>
    <t>Movement USD</t>
  </si>
  <si>
    <t>AR remaining USD</t>
  </si>
  <si>
    <t>Collected to date
USD</t>
  </si>
  <si>
    <t>Native source event ID</t>
  </si>
  <si>
    <t>2027-02-28</t>
  </si>
  <si>
    <t>RECEIPT</t>
  </si>
  <si>
    <t>base-02-COLLECTION-INV-base-FF-003-TERM-0</t>
  </si>
  <si>
    <t>2027-06-30</t>
  </si>
  <si>
    <t>WRITEOFF</t>
  </si>
  <si>
    <t>base-06-CREDIT_WRITEOFF-INV-base-FF-003-TERM-0</t>
  </si>
  <si>
    <t>2027-07-31</t>
  </si>
  <si>
    <t>CREDIT</t>
  </si>
  <si>
    <t>base-07-CREDIT_NOTE-SYN-INC-FF-003-INV-base-FF-003-TERM-0</t>
  </si>
  <si>
    <t>2027-08-31</t>
  </si>
  <si>
    <t>base-08-CREDIT_NOTE-SYN-AMEND-003-INV-base-FF-003-TERM-0</t>
  </si>
  <si>
    <t>2027-10-31</t>
  </si>
  <si>
    <t>RECOVERY</t>
  </si>
  <si>
    <t>base-10-CREDIT_RECOVERY-INV-base-FF-003-TERM-0</t>
  </si>
  <si>
    <t>SABLE HARBOR / Journal</t>
  </si>
  <si>
    <t>Journal ID</t>
  </si>
  <si>
    <t>Account</t>
  </si>
  <si>
    <t>Debit USD</t>
  </si>
  <si>
    <t>Credit USD</t>
  </si>
  <si>
    <t>Source event ID</t>
  </si>
  <si>
    <t>2027-01-31</t>
  </si>
  <si>
    <t>BIZ-base-0000014</t>
  </si>
  <si>
    <t>BIZ_AR</t>
  </si>
  <si>
    <t>base-01-INVOICE-INV-base-FF-003-TERM-0</t>
  </si>
  <si>
    <t>BIZ_DEFERRED</t>
  </si>
  <si>
    <t>BIZ-base-0000138</t>
  </si>
  <si>
    <t>1000</t>
  </si>
  <si>
    <t>BIZ-base-0000904</t>
  </si>
  <si>
    <t>BIZ_CREDIT_LOSS</t>
  </si>
  <si>
    <t>BIZ-base-0001186</t>
  </si>
  <si>
    <t>BIZ_REVENUE</t>
  </si>
  <si>
    <t>BIZ-base-0001401</t>
  </si>
  <si>
    <t>BIZ-base-0001754</t>
  </si>
  <si>
    <t>TOTAL</t>
  </si>
  <si>
    <t>SABLE HARBOR / Terms and credits</t>
  </si>
  <si>
    <t>Record</t>
  </si>
  <si>
    <t>Period / version</t>
  </si>
  <si>
    <t>Rate or credit USD</t>
  </si>
  <si>
    <t>Seats / application</t>
  </si>
  <si>
    <t>Source detail</t>
  </si>
  <si>
    <t>FF-003</t>
  </si>
  <si>
    <t>2027-01-31 / v1</t>
  </si>
  <si>
    <t>140 seats</t>
  </si>
  <si>
    <t>ACTIVATION; SYNTHETIC_CUSTOMER_ACCEPTANCE</t>
  </si>
  <si>
    <t>2027-08-31 / v2</t>
  </si>
  <si>
    <t>112 seats</t>
  </si>
  <si>
    <t>CONTRACTION; SYN-CUSTOMER-APPROVAL-003</t>
  </si>
  <si>
    <t>Credit note</t>
  </si>
  <si>
    <t>Written-off claim</t>
  </si>
  <si>
    <t>SLA_SERVICE_CREDIT; SYN-INC-FF-003-INV-base-FF-003-TERM-0</t>
  </si>
  <si>
    <t>SYN-AMEND-003; SYN-AMEND-003-INV-base-FF-003-TERM-0</t>
  </si>
  <si>
    <t>Original term: 12 months at $145,000 per month = $1,740,000 billing. A later modeled contraction reduces the monthly rate to $116,000 and seats to 112. Approval IDs are synthetic records, not signatures. Full extracted fields are retained in source.json.</t>
  </si>
  <si>
    <t>SABLE HARBOR / Source register</t>
  </si>
  <si>
    <t>Reference</t>
  </si>
  <si>
    <t>Value</t>
  </si>
  <si>
    <t>Release</t>
  </si>
  <si>
    <t>business-operations-v1.0.0</t>
  </si>
  <si>
    <t>Source revision</t>
  </si>
  <si>
    <t>57cfa1b1c483ccf1f8b15d82c4cbdadbeef8063e</t>
  </si>
  <si>
    <t>Archive SHA-256</t>
  </si>
  <si>
    <t>b8e81572d829fec7209d1d18eb15bac21e52b37714211aee005b5f1a68ab5817</t>
  </si>
  <si>
    <t>Invoice ID</t>
  </si>
  <si>
    <t>INV-base-FF-003-TERM-0</t>
  </si>
  <si>
    <t>Customer ID</t>
  </si>
  <si>
    <t>SYN-CUSTOMER-003</t>
  </si>
  <si>
    <t>Scenario / reporting unit</t>
  </si>
  <si>
    <t>base / foundry-field</t>
  </si>
  <si>
    <t>Scope</t>
  </si>
  <si>
    <t>One base-scenario invoice; all its invoice-linked events, movements and journal lines. Contract versions limited to first term in 2027. Contract-wide revenue and allowance allocations excluded.</t>
  </si>
  <si>
    <t>Source files</t>
  </si>
  <si>
    <t>source.json retains every column of selected rows, archive-member hashes and extraction identity.</t>
  </si>
  <si>
    <t>Missing evidence</t>
  </si>
  <si>
    <t>No customer address, signature, tax specification, bank statement or executed agreement supplied.</t>
  </si>
  <si>
    <t>Database link</t>
  </si>
  <si>
    <t>Native source is released units/foundry-field/evidence.sqlite3. Package-local catalog.json is integration metadata, not a ledger.</t>
  </si>
</sst>
</file>

<file path=xl/styles.xml><?xml version="1.0" encoding="utf-8"?>
<styleSheet xmlns="http://schemas.openxmlformats.org/spreadsheetml/2006/main">
  <numFmts count="1">
    <numFmt numFmtId="164" formatCode="$#,##0.00;($#,##0.00);$0.00"/>
  </numFmts>
  <fonts count="3">
    <font>
      <sz val="11"/>
      <color theme="1"/>
      <name val="Calibri"/>
      <family val="2"/>
      <scheme val="minor"/>
    </font>
    <font>
      <b/>
      <sz val="19"/>
      <color rgb="FF10121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121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indent="1" wrapText="1"/>
    </xf>
    <xf numFmtId="0" fontId="1" fillId="0" borderId="0" xfId="0" applyFont="1"/>
    <xf numFmtId="0" fontId="2" fillId="2" borderId="0" xfId="0" applyFont="1" applyFill="1" applyAlignment="1">
      <alignment vertical="center" wrapText="1"/>
    </xf>
    <xf numFmtId="164" fontId="0" fillId="0" borderId="1" xfId="0" applyNumberForma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9.7109375" style="1" customWidth="1"/>
    <col min="2" max="2" width="22.7109375" style="1" customWidth="1"/>
    <col min="3" max="3" width="60.7109375" style="1" customWidth="1"/>
  </cols>
  <sheetData>
    <row r="1" spans="1:3" ht="30" customHeight="1">
      <c r="A1" s="2" t="s">
        <v>0</v>
      </c>
      <c r="B1" s="2"/>
      <c r="C1" s="2"/>
    </row>
    <row r="2" spans="1:3" ht="25" customHeight="1">
      <c r="A2" s="1" t="s">
        <v>1</v>
      </c>
      <c r="B2" s="1"/>
      <c r="C2" s="1"/>
    </row>
    <row r="4" spans="1:3" ht="30" customHeight="1">
      <c r="A4" s="3" t="s">
        <v>2</v>
      </c>
      <c r="B4" s="3" t="s">
        <v>3</v>
      </c>
      <c r="C4" s="3" t="s">
        <v>4</v>
      </c>
    </row>
    <row r="5" spans="1:3" ht="34" customHeight="1">
      <c r="A5" s="1" t="s">
        <v>5</v>
      </c>
      <c r="B5" s="4">
        <v>1740000</v>
      </c>
      <c r="C5" s="1" t="s">
        <v>6</v>
      </c>
    </row>
    <row r="6" spans="1:3" ht="34" customHeight="1">
      <c r="A6" s="1" t="s">
        <v>7</v>
      </c>
      <c r="B6" s="4">
        <v>435000</v>
      </c>
      <c r="C6" s="1" t="s">
        <v>8</v>
      </c>
    </row>
    <row r="7" spans="1:3" ht="34" customHeight="1">
      <c r="A7" s="1" t="s">
        <v>9</v>
      </c>
      <c r="B7" s="4">
        <v>1305000</v>
      </c>
      <c r="C7" s="1" t="s">
        <v>10</v>
      </c>
    </row>
    <row r="8" spans="1:3" ht="34" customHeight="1">
      <c r="A8" s="1" t="s">
        <v>11</v>
      </c>
      <c r="B8" s="4">
        <f>B5-B6-B7</f>
        <v>0</v>
      </c>
      <c r="C8" s="1" t="s">
        <v>12</v>
      </c>
    </row>
    <row r="9" spans="1:3" ht="34" customHeight="1">
      <c r="A9" s="1" t="s">
        <v>13</v>
      </c>
      <c r="B9" s="4">
        <v>159500</v>
      </c>
      <c r="C9" s="1" t="s">
        <v>14</v>
      </c>
    </row>
    <row r="10" spans="1:3" ht="34" customHeight="1">
      <c r="A10" s="1" t="s">
        <v>15</v>
      </c>
      <c r="B10" s="4">
        <v>174000</v>
      </c>
      <c r="C10" s="1" t="s">
        <v>16</v>
      </c>
    </row>
    <row r="11" spans="1:3" ht="34" customHeight="1">
      <c r="A11" s="1" t="s">
        <v>17</v>
      </c>
      <c r="B11" s="4">
        <f>B6+B10</f>
        <v>609000</v>
      </c>
      <c r="C11" s="1" t="s">
        <v>18</v>
      </c>
    </row>
    <row r="12" spans="1:3" ht="34" customHeight="1">
      <c r="A12" s="1" t="s">
        <v>19</v>
      </c>
      <c r="B12" s="4">
        <f>B7-B9-B10</f>
        <v>971500</v>
      </c>
      <c r="C12" s="1" t="s">
        <v>20</v>
      </c>
    </row>
    <row r="13" spans="1:3" ht="34" customHeight="1">
      <c r="A13" s="1" t="s">
        <v>21</v>
      </c>
      <c r="B13" s="4">
        <f>B8-0</f>
        <v>0</v>
      </c>
      <c r="C13" s="1" t="s">
        <v>22</v>
      </c>
    </row>
    <row r="14" spans="1:3" ht="34" customHeight="1">
      <c r="A14" s="1" t="s">
        <v>23</v>
      </c>
      <c r="B14" s="4">
        <f>B11-609000</f>
        <v>0</v>
      </c>
      <c r="C14" s="1" t="s">
        <v>22</v>
      </c>
    </row>
    <row r="16" spans="1:3">
      <c r="A16" s="1" t="s">
        <v>24</v>
      </c>
      <c r="B16" s="1"/>
      <c r="C16" s="1"/>
    </row>
    <row r="17" spans="1:3">
      <c r="A17" s="1"/>
      <c r="B17" s="1"/>
      <c r="C17" s="1"/>
    </row>
  </sheetData>
  <mergeCells count="3">
    <mergeCell ref="A1:C1"/>
    <mergeCell ref="A2:C2"/>
    <mergeCell ref="A16:C17"/>
  </mergeCells>
  <pageMargins left="0.4" right="0.4" top="0.4" bottom="0.65" header="0.3" footer="0.25"/>
  <pageSetup paperSize="1" orientation="landscape"/>
  <headerFooter>
    <oddFooter>SH-FIN-HUMAN-001 | Draft for review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7109375" style="1" customWidth="1"/>
    <col min="2" max="2" width="16.7109375" style="1" customWidth="1"/>
    <col min="3" max="4" width="18.7109375" style="1" customWidth="1"/>
    <col min="5" max="5" width="19.7109375" style="1" customWidth="1"/>
    <col min="6" max="6" width="42.7109375" style="1" customWidth="1"/>
  </cols>
  <sheetData>
    <row r="1" spans="1:6" ht="30" customHeight="1">
      <c r="A1" s="2" t="s">
        <v>25</v>
      </c>
      <c r="B1" s="2"/>
      <c r="C1" s="2"/>
      <c r="D1" s="2"/>
      <c r="E1" s="2"/>
      <c r="F1" s="2"/>
    </row>
    <row r="2" spans="1:6" ht="25" customHeight="1">
      <c r="A2" s="1" t="s">
        <v>1</v>
      </c>
      <c r="B2" s="1"/>
      <c r="C2" s="1"/>
      <c r="D2" s="1"/>
      <c r="E2" s="1"/>
      <c r="F2" s="1"/>
    </row>
    <row r="4" spans="1:6" ht="30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</row>
    <row r="5" spans="1:6" ht="68" customHeight="1">
      <c r="A5" s="1" t="s">
        <v>32</v>
      </c>
      <c r="B5" s="1" t="s">
        <v>33</v>
      </c>
      <c r="C5" s="4">
        <v>435000</v>
      </c>
      <c r="D5" s="4">
        <v>1305000</v>
      </c>
      <c r="E5" s="4">
        <v>435000</v>
      </c>
      <c r="F5" s="1" t="s">
        <v>34</v>
      </c>
    </row>
    <row r="6" spans="1:6" ht="68" customHeight="1">
      <c r="A6" s="1" t="s">
        <v>35</v>
      </c>
      <c r="B6" s="1" t="s">
        <v>36</v>
      </c>
      <c r="C6" s="4">
        <v>1305000</v>
      </c>
      <c r="D6" s="4">
        <v>0</v>
      </c>
      <c r="E6" s="4">
        <v>435000</v>
      </c>
      <c r="F6" s="1" t="s">
        <v>37</v>
      </c>
    </row>
    <row r="7" spans="1:6" ht="68" customHeight="1">
      <c r="A7" s="1" t="s">
        <v>38</v>
      </c>
      <c r="B7" s="1" t="s">
        <v>39</v>
      </c>
      <c r="C7" s="4">
        <v>14500</v>
      </c>
      <c r="D7" s="4">
        <v>0</v>
      </c>
      <c r="E7" s="4">
        <v>435000</v>
      </c>
      <c r="F7" s="1" t="s">
        <v>40</v>
      </c>
    </row>
    <row r="8" spans="1:6" ht="68" customHeight="1">
      <c r="A8" s="1" t="s">
        <v>41</v>
      </c>
      <c r="B8" s="1" t="s">
        <v>39</v>
      </c>
      <c r="C8" s="4">
        <v>145000</v>
      </c>
      <c r="D8" s="4">
        <v>0</v>
      </c>
      <c r="E8" s="4">
        <v>435000</v>
      </c>
      <c r="F8" s="1" t="s">
        <v>42</v>
      </c>
    </row>
    <row r="9" spans="1:6" ht="68" customHeight="1">
      <c r="A9" s="1" t="s">
        <v>43</v>
      </c>
      <c r="B9" s="1" t="s">
        <v>44</v>
      </c>
      <c r="C9" s="4">
        <v>174000</v>
      </c>
      <c r="D9" s="4">
        <v>0</v>
      </c>
      <c r="E9" s="4">
        <v>609000</v>
      </c>
      <c r="F9" s="1" t="s">
        <v>45</v>
      </c>
    </row>
  </sheetData>
  <mergeCells count="2">
    <mergeCell ref="A1:F1"/>
    <mergeCell ref="A2:F2"/>
  </mergeCells>
  <pageMargins left="0.4" right="0.4" top="0.4" bottom="0.65" header="0.3" footer="0.25"/>
  <pageSetup paperSize="1" orientation="landscape"/>
  <headerFooter>
    <oddFooter>SH-FIN-HUMAN-001 | Draft for review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style="1" customWidth="1"/>
    <col min="2" max="3" width="22.7109375" style="1" customWidth="1"/>
    <col min="4" max="5" width="18.7109375" style="1" customWidth="1"/>
    <col min="6" max="6" width="44.7109375" style="1" customWidth="1"/>
  </cols>
  <sheetData>
    <row r="1" spans="1:6" ht="30" customHeight="1">
      <c r="A1" s="2" t="s">
        <v>46</v>
      </c>
      <c r="B1" s="2"/>
      <c r="C1" s="2"/>
      <c r="D1" s="2"/>
      <c r="E1" s="2"/>
      <c r="F1" s="2"/>
    </row>
    <row r="2" spans="1:6" ht="25" customHeight="1">
      <c r="A2" s="1" t="s">
        <v>1</v>
      </c>
      <c r="B2" s="1"/>
      <c r="C2" s="1"/>
      <c r="D2" s="1"/>
      <c r="E2" s="1"/>
      <c r="F2" s="1"/>
    </row>
    <row r="4" spans="1:6" ht="30" customHeight="1">
      <c r="A4" s="3" t="s">
        <v>26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</row>
    <row r="5" spans="1:6" ht="39" customHeight="1">
      <c r="A5" s="1" t="s">
        <v>52</v>
      </c>
      <c r="B5" s="1" t="s">
        <v>53</v>
      </c>
      <c r="C5" s="1" t="s">
        <v>54</v>
      </c>
      <c r="D5" s="4">
        <v>1740000</v>
      </c>
      <c r="E5" s="4">
        <v>0</v>
      </c>
      <c r="F5" s="1" t="s">
        <v>55</v>
      </c>
    </row>
    <row r="6" spans="1:6" ht="39" customHeight="1">
      <c r="A6" s="1" t="s">
        <v>52</v>
      </c>
      <c r="B6" s="1" t="s">
        <v>53</v>
      </c>
      <c r="C6" s="1" t="s">
        <v>56</v>
      </c>
      <c r="D6" s="4">
        <v>0</v>
      </c>
      <c r="E6" s="4">
        <v>1740000</v>
      </c>
      <c r="F6" s="1" t="s">
        <v>55</v>
      </c>
    </row>
    <row r="7" spans="1:6" ht="39" customHeight="1">
      <c r="A7" s="1" t="s">
        <v>32</v>
      </c>
      <c r="B7" s="1" t="s">
        <v>57</v>
      </c>
      <c r="C7" s="1" t="s">
        <v>58</v>
      </c>
      <c r="D7" s="4">
        <v>435000</v>
      </c>
      <c r="E7" s="4">
        <v>0</v>
      </c>
      <c r="F7" s="1" t="s">
        <v>34</v>
      </c>
    </row>
    <row r="8" spans="1:6" ht="39" customHeight="1">
      <c r="A8" s="1" t="s">
        <v>32</v>
      </c>
      <c r="B8" s="1" t="s">
        <v>57</v>
      </c>
      <c r="C8" s="1" t="s">
        <v>54</v>
      </c>
      <c r="D8" s="4">
        <v>0</v>
      </c>
      <c r="E8" s="4">
        <v>435000</v>
      </c>
      <c r="F8" s="1" t="s">
        <v>34</v>
      </c>
    </row>
    <row r="9" spans="1:6" ht="39" customHeight="1">
      <c r="A9" s="1" t="s">
        <v>35</v>
      </c>
      <c r="B9" s="1" t="s">
        <v>59</v>
      </c>
      <c r="C9" s="1" t="s">
        <v>60</v>
      </c>
      <c r="D9" s="4">
        <v>1305000</v>
      </c>
      <c r="E9" s="4">
        <v>0</v>
      </c>
      <c r="F9" s="1" t="s">
        <v>37</v>
      </c>
    </row>
    <row r="10" spans="1:6" ht="39" customHeight="1">
      <c r="A10" s="1" t="s">
        <v>35</v>
      </c>
      <c r="B10" s="1" t="s">
        <v>59</v>
      </c>
      <c r="C10" s="1" t="s">
        <v>54</v>
      </c>
      <c r="D10" s="4">
        <v>0</v>
      </c>
      <c r="E10" s="4">
        <v>1305000</v>
      </c>
      <c r="F10" s="1" t="s">
        <v>37</v>
      </c>
    </row>
    <row r="11" spans="1:6" ht="39" customHeight="1">
      <c r="A11" s="1" t="s">
        <v>38</v>
      </c>
      <c r="B11" s="1" t="s">
        <v>61</v>
      </c>
      <c r="C11" s="1" t="s">
        <v>62</v>
      </c>
      <c r="D11" s="4">
        <v>14500</v>
      </c>
      <c r="E11" s="4">
        <v>0</v>
      </c>
      <c r="F11" s="1" t="s">
        <v>40</v>
      </c>
    </row>
    <row r="12" spans="1:6" ht="39" customHeight="1">
      <c r="A12" s="1" t="s">
        <v>38</v>
      </c>
      <c r="B12" s="1" t="s">
        <v>61</v>
      </c>
      <c r="C12" s="1" t="s">
        <v>60</v>
      </c>
      <c r="D12" s="4">
        <v>0</v>
      </c>
      <c r="E12" s="4">
        <v>14500</v>
      </c>
      <c r="F12" s="1" t="s">
        <v>40</v>
      </c>
    </row>
    <row r="13" spans="1:6" ht="39" customHeight="1">
      <c r="A13" s="1" t="s">
        <v>41</v>
      </c>
      <c r="B13" s="1" t="s">
        <v>63</v>
      </c>
      <c r="C13" s="1" t="s">
        <v>56</v>
      </c>
      <c r="D13" s="4">
        <v>145000</v>
      </c>
      <c r="E13" s="4">
        <v>0</v>
      </c>
      <c r="F13" s="1" t="s">
        <v>42</v>
      </c>
    </row>
    <row r="14" spans="1:6" ht="39" customHeight="1">
      <c r="A14" s="1" t="s">
        <v>41</v>
      </c>
      <c r="B14" s="1" t="s">
        <v>63</v>
      </c>
      <c r="C14" s="1" t="s">
        <v>60</v>
      </c>
      <c r="D14" s="4">
        <v>0</v>
      </c>
      <c r="E14" s="4">
        <v>145000</v>
      </c>
      <c r="F14" s="1" t="s">
        <v>42</v>
      </c>
    </row>
    <row r="15" spans="1:6" ht="39" customHeight="1">
      <c r="A15" s="1" t="s">
        <v>43</v>
      </c>
      <c r="B15" s="1" t="s">
        <v>64</v>
      </c>
      <c r="C15" s="1" t="s">
        <v>58</v>
      </c>
      <c r="D15" s="4">
        <v>174000</v>
      </c>
      <c r="E15" s="4">
        <v>0</v>
      </c>
      <c r="F15" s="1" t="s">
        <v>45</v>
      </c>
    </row>
    <row r="16" spans="1:6" ht="39" customHeight="1">
      <c r="A16" s="1" t="s">
        <v>43</v>
      </c>
      <c r="B16" s="1" t="s">
        <v>64</v>
      </c>
      <c r="C16" s="1" t="s">
        <v>60</v>
      </c>
      <c r="D16" s="4">
        <v>0</v>
      </c>
      <c r="E16" s="4">
        <v>174000</v>
      </c>
      <c r="F16" s="1" t="s">
        <v>45</v>
      </c>
    </row>
    <row r="17" spans="3:5">
      <c r="C17" s="1" t="s">
        <v>65</v>
      </c>
      <c r="D17" s="4">
        <f>SUM(D5:D16)</f>
        <v>3813500.0</v>
      </c>
      <c r="E17" s="4">
        <f>SUM(E5:E16)</f>
        <v>3813500.0</v>
      </c>
    </row>
  </sheetData>
  <mergeCells count="2">
    <mergeCell ref="A1:F1"/>
    <mergeCell ref="A2:F2"/>
  </mergeCells>
  <pageMargins left="0.4" right="0.4" top="0.4" bottom="0.65" header="0.3" footer="0.25"/>
  <pageSetup paperSize="1" orientation="landscape"/>
  <headerFooter>
    <oddFooter>SH-FIN-HUMAN-001 | Draft for review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style="1" customWidth="1"/>
    <col min="2" max="2" width="23.7109375" style="1" customWidth="1"/>
    <col min="3" max="3" width="22.7109375" style="1" customWidth="1"/>
    <col min="4" max="4" width="24.7109375" style="1" customWidth="1"/>
    <col min="5" max="5" width="47.7109375" style="1" customWidth="1"/>
  </cols>
  <sheetData>
    <row r="1" spans="1:5" ht="30" customHeight="1">
      <c r="A1" s="2" t="s">
        <v>66</v>
      </c>
      <c r="B1" s="2"/>
      <c r="C1" s="2"/>
      <c r="D1" s="2"/>
      <c r="E1" s="2"/>
    </row>
    <row r="2" spans="1:5" ht="25" customHeight="1">
      <c r="A2" s="1" t="s">
        <v>1</v>
      </c>
      <c r="B2" s="1"/>
      <c r="C2" s="1"/>
      <c r="D2" s="1"/>
      <c r="E2" s="1"/>
    </row>
    <row r="4" spans="1:5" ht="30" customHeight="1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</row>
    <row r="5" spans="1:5" ht="70" customHeight="1">
      <c r="A5" s="1" t="s">
        <v>72</v>
      </c>
      <c r="B5" s="1" t="s">
        <v>73</v>
      </c>
      <c r="C5" s="4">
        <v>145000</v>
      </c>
      <c r="D5" s="1" t="s">
        <v>74</v>
      </c>
      <c r="E5" s="1" t="s">
        <v>75</v>
      </c>
    </row>
    <row r="6" spans="1:5" ht="70" customHeight="1">
      <c r="A6" s="1" t="s">
        <v>72</v>
      </c>
      <c r="B6" s="1" t="s">
        <v>76</v>
      </c>
      <c r="C6" s="4">
        <v>116000</v>
      </c>
      <c r="D6" s="1" t="s">
        <v>77</v>
      </c>
      <c r="E6" s="1" t="s">
        <v>78</v>
      </c>
    </row>
    <row r="7" spans="1:5" ht="70" customHeight="1">
      <c r="A7" s="1" t="s">
        <v>79</v>
      </c>
      <c r="B7" s="1" t="s">
        <v>38</v>
      </c>
      <c r="C7" s="4">
        <v>14500</v>
      </c>
      <c r="D7" s="1" t="s">
        <v>80</v>
      </c>
      <c r="E7" s="1" t="s">
        <v>81</v>
      </c>
    </row>
    <row r="8" spans="1:5" ht="70" customHeight="1">
      <c r="A8" s="1" t="s">
        <v>79</v>
      </c>
      <c r="B8" s="1" t="s">
        <v>41</v>
      </c>
      <c r="C8" s="4">
        <v>145000</v>
      </c>
      <c r="D8" s="1" t="s">
        <v>80</v>
      </c>
      <c r="E8" s="1" t="s">
        <v>82</v>
      </c>
    </row>
    <row r="10" spans="1:5">
      <c r="A10" s="1" t="s">
        <v>83</v>
      </c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</sheetData>
  <mergeCells count="3">
    <mergeCell ref="A1:E1"/>
    <mergeCell ref="A2:E2"/>
    <mergeCell ref="A10:E11"/>
  </mergeCells>
  <pageMargins left="0.4" right="0.4" top="0.4" bottom="0.65" header="0.3" footer="0.25"/>
  <pageSetup paperSize="1" orientation="landscape"/>
  <headerFooter>
    <oddFooter>SH-FIN-HUMAN-001 | Draft for review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9.7109375" style="1" customWidth="1"/>
    <col min="2" max="2" width="89.7109375" style="1" customWidth="1"/>
  </cols>
  <sheetData>
    <row r="1" spans="1:2" ht="30" customHeight="1">
      <c r="A1" s="2" t="s">
        <v>84</v>
      </c>
      <c r="B1" s="2"/>
    </row>
    <row r="2" spans="1:2" ht="25" customHeight="1">
      <c r="A2" s="1" t="s">
        <v>1</v>
      </c>
      <c r="B2" s="1"/>
    </row>
    <row r="4" spans="1:2" ht="30" customHeight="1">
      <c r="A4" s="3" t="s">
        <v>85</v>
      </c>
      <c r="B4" s="3" t="s">
        <v>86</v>
      </c>
    </row>
    <row r="5" spans="1:2" ht="42" customHeight="1">
      <c r="A5" s="1" t="s">
        <v>87</v>
      </c>
      <c r="B5" s="1" t="s">
        <v>88</v>
      </c>
    </row>
    <row r="6" spans="1:2" ht="42" customHeight="1">
      <c r="A6" s="1" t="s">
        <v>89</v>
      </c>
      <c r="B6" s="1" t="s">
        <v>90</v>
      </c>
    </row>
    <row r="7" spans="1:2" ht="42" customHeight="1">
      <c r="A7" s="1" t="s">
        <v>91</v>
      </c>
      <c r="B7" s="1" t="s">
        <v>92</v>
      </c>
    </row>
    <row r="8" spans="1:2" ht="42" customHeight="1">
      <c r="A8" s="1" t="s">
        <v>93</v>
      </c>
      <c r="B8" s="1" t="s">
        <v>94</v>
      </c>
    </row>
    <row r="9" spans="1:2" ht="42" customHeight="1">
      <c r="A9" s="1" t="s">
        <v>95</v>
      </c>
      <c r="B9" s="1" t="s">
        <v>96</v>
      </c>
    </row>
    <row r="10" spans="1:2" ht="42" customHeight="1">
      <c r="A10" s="1" t="s">
        <v>97</v>
      </c>
      <c r="B10" s="1" t="s">
        <v>98</v>
      </c>
    </row>
    <row r="11" spans="1:2" ht="42" customHeight="1">
      <c r="A11" s="1" t="s">
        <v>99</v>
      </c>
      <c r="B11" s="1" t="s">
        <v>100</v>
      </c>
    </row>
    <row r="12" spans="1:2" ht="42" customHeight="1">
      <c r="A12" s="1" t="s">
        <v>101</v>
      </c>
      <c r="B12" s="1" t="s">
        <v>102</v>
      </c>
    </row>
    <row r="13" spans="1:2" ht="42" customHeight="1">
      <c r="A13" s="1" t="s">
        <v>103</v>
      </c>
      <c r="B13" s="1" t="s">
        <v>104</v>
      </c>
    </row>
    <row r="14" spans="1:2" ht="42" customHeight="1">
      <c r="A14" s="1" t="s">
        <v>105</v>
      </c>
      <c r="B14" s="1" t="s">
        <v>106</v>
      </c>
    </row>
  </sheetData>
  <mergeCells count="2">
    <mergeCell ref="A1:B1"/>
    <mergeCell ref="A2:B2"/>
  </mergeCells>
  <pageMargins left="0.4" right="0.4" top="0.4" bottom="0.65" header="0.3" footer="0.25"/>
  <pageSetup paperSize="1" orientation="landscape"/>
  <headerFooter>
    <oddFooter>SH-FIN-HUMAN-001 | Draft for review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Reconciliation</vt:lpstr>
      <vt:lpstr>Movements</vt:lpstr>
      <vt:lpstr>Journal</vt:lpstr>
      <vt:lpstr>Terms and credits</vt:lpstr>
      <vt:lpstr>Source register</vt:lpstr>
      <vt:lpstr>Journal!Print_Area</vt:lpstr>
      <vt:lpstr>Movements!Print_Area</vt:lpstr>
      <vt:lpstr>Reconciliation!Print_Area</vt:lpstr>
      <vt:lpstr>'Source register'!Print_Area</vt:lpstr>
      <vt:lpstr>'Terms and credits'!Print_Area</vt:lpstr>
      <vt:lpstr>Journal!Print_Titles</vt:lpstr>
      <vt:lpstr>Movements!Print_Titles</vt:lpstr>
      <vt:lpstr>Reconciliation!Print_Titles</vt:lpstr>
      <vt:lpstr>'Source register'!Print_Titles</vt:lpstr>
      <vt:lpstr>'Terms and credits'!Print_Titles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SH-FIN-HUMAN-001 | Invoice evidence review</dc:title>
  <dc:creator>Sable Harbor</dc:creator>
  <cp:lastModifiedBy>Sable Harbor</cp:lastModifiedBy>
  <dcterms:created xsi:type="dcterms:W3CDTF">2026-09-11T00:00:00Z</dcterms:created>
  <dcterms:modified xsi:type="dcterms:W3CDTF">2026-09-11T00:00:00Z</dcterms:modified>
</cp:coreProperties>
</file>