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and tax" sheetId="1" r:id="rId1"/>
    <sheet name="Principal history" sheetId="2" r:id="rId2"/>
    <sheet name="Tax journal" sheetId="3" r:id="rId3"/>
    <sheet name="Source register" sheetId="4" r:id="rId4"/>
  </sheets>
  <definedNames>
    <definedName name="_xlnm.Print_Area" localSheetId="0">'Invoice and tax'!$A$1:$C$13</definedName>
    <definedName name="_xlnm.Print_Area" localSheetId="1">'Principal history'!$A$1:$C$13</definedName>
    <definedName name="_xlnm.Print_Area" localSheetId="3">'Source register'!$A$1:$B$14</definedName>
    <definedName name="_xlnm.Print_Area" localSheetId="2">'Tax journal'!$A$1:$D$13</definedName>
    <definedName name="_xlnm.Print_Titles" localSheetId="0">'Invoice and tax'!$1:$4</definedName>
    <definedName name="_xlnm.Print_Titles" localSheetId="1">'Principal history'!$1:$4</definedName>
    <definedName name="_xlnm.Print_Titles" localSheetId="3">'Source register'!$1:$4</definedName>
    <definedName name="_xlnm.Print_Titles" localSheetId="2">'Tax journal'!$1:$4</definedName>
  </definedNames>
  <calcPr calcId="124519" fullCalcOnLoad="1"/>
</workbook>
</file>

<file path=xl/sharedStrings.xml><?xml version="1.0" encoding="utf-8"?>
<sst xmlns="http://schemas.openxmlformats.org/spreadsheetml/2006/main" count="83" uniqueCount="76">
  <si>
    <t>FOUNDRY FIELD / Invoice and tax</t>
  </si>
  <si>
    <t>SH-FIN-BILL-001 · Synthetic 2027 forecast · FF-003</t>
  </si>
  <si>
    <t>Measure</t>
  </si>
  <si>
    <t>Value</t>
  </si>
  <si>
    <t>Meaning</t>
  </si>
  <si>
    <t>Monthly subscription</t>
  </si>
  <si>
    <t>Contract FF-003; 140 seats.</t>
  </si>
  <si>
    <t>Term months</t>
  </si>
  <si>
    <t>January–December 2027.</t>
  </si>
  <si>
    <t>Subscription charge</t>
  </si>
  <si>
    <t>Customer consideration; not cash or earned revenue.</t>
  </si>
  <si>
    <t>Customer tax reimbursement</t>
  </si>
  <si>
    <t>Seller bears sales tax separately; not exempt.</t>
  </si>
  <si>
    <t>Customer total due</t>
  </si>
  <si>
    <t>Due February 28, 2027.</t>
  </si>
  <si>
    <t>Sales tax rate</t>
  </si>
  <si>
    <t>8.75%; January 2027 planning assumption.</t>
  </si>
  <si>
    <t>Seller tax expense and payable</t>
  </si>
  <si>
    <t>Separate issuance supplement; reduces pretax earnings.</t>
  </si>
  <si>
    <t>Initial tax payment</t>
  </si>
  <si>
    <t>No cash settlement represented.</t>
  </si>
  <si>
    <t>Customer-total check</t>
  </si>
  <si>
    <t>Must equal zero against the preserved source invoice.</t>
  </si>
  <si>
    <t>FOUNDRY FIELD / Principal history</t>
  </si>
  <si>
    <t>USD</t>
  </si>
  <si>
    <t>Original invoice</t>
  </si>
  <si>
    <t>Preserved release principal.</t>
  </si>
  <si>
    <t>February receipt</t>
  </si>
  <si>
    <t>Pre-writeoff cash.</t>
  </si>
  <si>
    <t>June gross writeoff</t>
  </si>
  <si>
    <t>Removed from AR; not a debt release.</t>
  </si>
  <si>
    <t>July and August credits</t>
  </si>
  <si>
    <t>Applied to written-off claim.</t>
  </si>
  <si>
    <t>October recovery</t>
  </si>
  <si>
    <t>Included once in collections.</t>
  </si>
  <si>
    <t>Total collected</t>
  </si>
  <si>
    <t>Receipt plus recovery.</t>
  </si>
  <si>
    <t>Surviving written-off claim</t>
  </si>
  <si>
    <t>Unrecognized claim; not booked AR.</t>
  </si>
  <si>
    <t>Remaining ledger AR</t>
  </si>
  <si>
    <t>Zero does not mean paid in full.</t>
  </si>
  <si>
    <t>Principal bridge difference</t>
  </si>
  <si>
    <t>Principal less cash, credits, surviving claim and AR.</t>
  </si>
  <si>
    <t>FOUNDRY FIELD / Tax journal</t>
  </si>
  <si>
    <t>Period</t>
  </si>
  <si>
    <t>Account</t>
  </si>
  <si>
    <t>Debit USD</t>
  </si>
  <si>
    <t>Credit USD</t>
  </si>
  <si>
    <t>2027-01-31</t>
  </si>
  <si>
    <t>BILLING_SALES_TAX_EXPENSE</t>
  </si>
  <si>
    <t>BILLING_SALES_TAX_PAYABLE</t>
  </si>
  <si>
    <t>TOTAL</t>
  </si>
  <si>
    <t>BALANCE CHECK</t>
  </si>
  <si>
    <t>SHI / January 31 issuance only. These packet-scoped accounts supplement the unchanged release. No tax remittance, refund, bad-debt relief or later tax closing balance is represented.</t>
  </si>
  <si>
    <t>FOUNDRY FIELD / Source register</t>
  </si>
  <si>
    <t>Reference</t>
  </si>
  <si>
    <t>Decision</t>
  </si>
  <si>
    <t>docs/canon/FOUNDRY_FIELD_BILLING_ADOPTION_2026-09-13.md</t>
  </si>
  <si>
    <t>Record</t>
  </si>
  <si>
    <t>record.json / SH-FIN-BILL-001</t>
  </si>
  <si>
    <t>Issuer</t>
  </si>
  <si>
    <t>Sable Harbor, LLC operating as Foundry Field; entity SHI.</t>
  </si>
  <si>
    <t>Customer</t>
  </si>
  <si>
    <t>Copperreach Fabrication, Inc.; SYN-CUSTOMER-003.</t>
  </si>
  <si>
    <t>Source SHA-256</t>
  </si>
  <si>
    <t>c4833cfc6f28db6cd3edcae761b0e2d8f463a20de79f1d6fd5b0c517f8f829b7</t>
  </si>
  <si>
    <t>Legacy scope</t>
  </si>
  <si>
    <t>Invoice-linked events only; excludes full contract revenue and allowance allocations.</t>
  </si>
  <si>
    <t>Status</t>
  </si>
  <si>
    <t>2027 conditional forecast; not September 2026 actuals.</t>
  </si>
  <si>
    <t>Tax basis</t>
  </si>
  <si>
    <t>Seller bears sales tax. Full subscription is taxable receipts; no tax-inclusive divisor.</t>
  </si>
  <si>
    <t>Reconciliation</t>
  </si>
  <si>
    <t>reconciliation.json: PASS</t>
  </si>
  <si>
    <t>Research</t>
  </si>
  <si>
    <t>September 13, 2026; statutory and city source URLs in record.json.</t>
  </si>
</sst>
</file>

<file path=xl/styles.xml><?xml version="1.0" encoding="utf-8"?>
<styleSheet xmlns="http://schemas.openxmlformats.org/spreadsheetml/2006/main">
  <numFmts count="2">
    <numFmt numFmtId="164" formatCode="$#,##0.00;($#,##0.00);$0.00"/>
    <numFmt numFmtId="165" formatCode="0.00%"/>
  </numFmts>
  <fonts count="3">
    <font>
      <sz val="11"/>
      <color theme="1"/>
      <name val="Calibri"/>
      <family val="2"/>
      <scheme val="minor"/>
    </font>
    <font>
      <b/>
      <sz val="19"/>
      <color rgb="FF10121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121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 indent="1"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3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8.7109375" style="1" customWidth="1"/>
    <col min="2" max="2" width="24.7109375" style="1" customWidth="1"/>
    <col min="3" max="3" width="65.7109375" style="1" customWidth="1"/>
  </cols>
  <sheetData>
    <row r="1" spans="1:3" ht="30" customHeight="1">
      <c r="A1" s="2" t="s">
        <v>0</v>
      </c>
      <c r="B1" s="2"/>
      <c r="C1" s="2"/>
    </row>
    <row r="2" spans="1:3" ht="26" customHeight="1">
      <c r="A2" s="1" t="s">
        <v>1</v>
      </c>
      <c r="B2" s="1"/>
      <c r="C2" s="1"/>
    </row>
    <row r="4" spans="1:3" ht="30" customHeight="1">
      <c r="A4" s="3" t="s">
        <v>2</v>
      </c>
      <c r="B4" s="3" t="s">
        <v>3</v>
      </c>
      <c r="C4" s="3" t="s">
        <v>4</v>
      </c>
    </row>
    <row r="5" spans="1:3" ht="38" customHeight="1">
      <c r="A5" s="1" t="s">
        <v>5</v>
      </c>
      <c r="B5" s="4">
        <v>145000</v>
      </c>
      <c r="C5" s="1" t="s">
        <v>6</v>
      </c>
    </row>
    <row r="6" spans="1:3" ht="38" customHeight="1">
      <c r="A6" s="1" t="s">
        <v>7</v>
      </c>
      <c r="B6" s="1">
        <v>12</v>
      </c>
      <c r="C6" s="1" t="s">
        <v>8</v>
      </c>
    </row>
    <row r="7" spans="1:3" ht="38" customHeight="1">
      <c r="A7" s="1" t="s">
        <v>9</v>
      </c>
      <c r="B7" s="4">
        <f>B5*B6</f>
        <v>1740000.0</v>
      </c>
      <c r="C7" s="1" t="s">
        <v>10</v>
      </c>
    </row>
    <row r="8" spans="1:3" ht="38" customHeight="1">
      <c r="A8" s="1" t="s">
        <v>11</v>
      </c>
      <c r="B8" s="4">
        <v>0</v>
      </c>
      <c r="C8" s="1" t="s">
        <v>12</v>
      </c>
    </row>
    <row r="9" spans="1:3" ht="38" customHeight="1">
      <c r="A9" s="1" t="s">
        <v>13</v>
      </c>
      <c r="B9" s="4">
        <f>B7+B8</f>
        <v>1740000.0</v>
      </c>
      <c r="C9" s="1" t="s">
        <v>14</v>
      </c>
    </row>
    <row r="10" spans="1:3" ht="38" customHeight="1">
      <c r="A10" s="1" t="s">
        <v>15</v>
      </c>
      <c r="B10" s="5">
        <v>0.08749999999999999</v>
      </c>
      <c r="C10" s="1" t="s">
        <v>16</v>
      </c>
    </row>
    <row r="11" spans="1:3" ht="38" customHeight="1">
      <c r="A11" s="1" t="s">
        <v>17</v>
      </c>
      <c r="B11" s="4">
        <f>ROUND(B7*B10,2)</f>
        <v>152250.0</v>
      </c>
      <c r="C11" s="1" t="s">
        <v>18</v>
      </c>
    </row>
    <row r="12" spans="1:3" ht="38" customHeight="1">
      <c r="A12" s="1" t="s">
        <v>19</v>
      </c>
      <c r="B12" s="4">
        <v>0</v>
      </c>
      <c r="C12" s="1" t="s">
        <v>20</v>
      </c>
    </row>
    <row r="13" spans="1:3" ht="38" customHeight="1">
      <c r="A13" s="1" t="s">
        <v>21</v>
      </c>
      <c r="B13" s="4">
        <f>B9-1740000.0</f>
        <v>0</v>
      </c>
      <c r="C13" s="1" t="s">
        <v>22</v>
      </c>
    </row>
  </sheetData>
  <mergeCells count="2">
    <mergeCell ref="A1:C1"/>
    <mergeCell ref="A2:C2"/>
  </mergeCells>
  <pageMargins left="0.4" right="0.4" top="0.4" bottom="0.65" header="0.3" footer="0.25"/>
  <pageSetup paperSize="1" orientation="landscape"/>
  <headerFooter>
    <oddFooter>SH-FIN-BILL-001 | Conditional forecast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8.7109375" style="1" customWidth="1"/>
    <col min="2" max="2" width="24.7109375" style="1" customWidth="1"/>
    <col min="3" max="3" width="65.7109375" style="1" customWidth="1"/>
  </cols>
  <sheetData>
    <row r="1" spans="1:3" ht="30" customHeight="1">
      <c r="A1" s="2" t="s">
        <v>23</v>
      </c>
      <c r="B1" s="2"/>
      <c r="C1" s="2"/>
    </row>
    <row r="2" spans="1:3" ht="26" customHeight="1">
      <c r="A2" s="1" t="s">
        <v>1</v>
      </c>
      <c r="B2" s="1"/>
      <c r="C2" s="1"/>
    </row>
    <row r="4" spans="1:3" ht="30" customHeight="1">
      <c r="A4" s="3" t="s">
        <v>2</v>
      </c>
      <c r="B4" s="3" t="s">
        <v>24</v>
      </c>
      <c r="C4" s="3" t="s">
        <v>4</v>
      </c>
    </row>
    <row r="5" spans="1:3" ht="38" customHeight="1">
      <c r="A5" s="1" t="s">
        <v>25</v>
      </c>
      <c r="B5" s="4">
        <v>1740000</v>
      </c>
      <c r="C5" s="1" t="s">
        <v>26</v>
      </c>
    </row>
    <row r="6" spans="1:3" ht="38" customHeight="1">
      <c r="A6" s="1" t="s">
        <v>27</v>
      </c>
      <c r="B6" s="4">
        <v>435000</v>
      </c>
      <c r="C6" s="1" t="s">
        <v>28</v>
      </c>
    </row>
    <row r="7" spans="1:3" ht="38" customHeight="1">
      <c r="A7" s="1" t="s">
        <v>29</v>
      </c>
      <c r="B7" s="4">
        <v>1305000</v>
      </c>
      <c r="C7" s="1" t="s">
        <v>30</v>
      </c>
    </row>
    <row r="8" spans="1:3" ht="38" customHeight="1">
      <c r="A8" s="1" t="s">
        <v>31</v>
      </c>
      <c r="B8" s="4">
        <v>159500</v>
      </c>
      <c r="C8" s="1" t="s">
        <v>32</v>
      </c>
    </row>
    <row r="9" spans="1:3" ht="38" customHeight="1">
      <c r="A9" s="1" t="s">
        <v>33</v>
      </c>
      <c r="B9" s="4">
        <v>174000</v>
      </c>
      <c r="C9" s="1" t="s">
        <v>34</v>
      </c>
    </row>
    <row r="10" spans="1:3" ht="38" customHeight="1">
      <c r="A10" s="1" t="s">
        <v>35</v>
      </c>
      <c r="B10" s="4">
        <f>B6+B9</f>
        <v>609000.0</v>
      </c>
      <c r="C10" s="1" t="s">
        <v>36</v>
      </c>
    </row>
    <row r="11" spans="1:3" ht="38" customHeight="1">
      <c r="A11" s="1" t="s">
        <v>37</v>
      </c>
      <c r="B11" s="4">
        <f>B7-B8-B9</f>
        <v>971500.0</v>
      </c>
      <c r="C11" s="1" t="s">
        <v>38</v>
      </c>
    </row>
    <row r="12" spans="1:3" ht="38" customHeight="1">
      <c r="A12" s="1" t="s">
        <v>39</v>
      </c>
      <c r="B12" s="4">
        <f>B5-B6-B7</f>
        <v>0</v>
      </c>
      <c r="C12" s="1" t="s">
        <v>40</v>
      </c>
    </row>
    <row r="13" spans="1:3" ht="38" customHeight="1">
      <c r="A13" s="1" t="s">
        <v>41</v>
      </c>
      <c r="B13" s="4">
        <f>B5-B10-B8-B11-B12</f>
        <v>0</v>
      </c>
      <c r="C13" s="1" t="s">
        <v>42</v>
      </c>
    </row>
  </sheetData>
  <mergeCells count="2">
    <mergeCell ref="A1:C1"/>
    <mergeCell ref="A2:C2"/>
  </mergeCells>
  <pageMargins left="0.4" right="0.4" top="0.4" bottom="0.65" header="0.3" footer="0.25"/>
  <pageSetup paperSize="1" orientation="landscape"/>
  <headerFooter>
    <oddFooter>SH-FIN-BILL-001 | Conditional forecast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style="1" customWidth="1"/>
    <col min="2" max="2" width="48.7109375" style="1" customWidth="1"/>
    <col min="3" max="4" width="25.7109375" style="1" customWidth="1"/>
  </cols>
  <sheetData>
    <row r="1" spans="1:4" ht="30" customHeight="1">
      <c r="A1" s="2" t="s">
        <v>43</v>
      </c>
      <c r="B1" s="2"/>
      <c r="C1" s="2"/>
      <c r="D1" s="2"/>
    </row>
    <row r="2" spans="1:4" ht="26" customHeight="1">
      <c r="A2" s="1" t="s">
        <v>1</v>
      </c>
      <c r="B2" s="1"/>
      <c r="C2" s="1"/>
      <c r="D2" s="1"/>
    </row>
    <row r="4" spans="1:4" ht="30" customHeight="1">
      <c r="A4" s="3" t="s">
        <v>44</v>
      </c>
      <c r="B4" s="3" t="s">
        <v>45</v>
      </c>
      <c r="C4" s="3" t="s">
        <v>46</v>
      </c>
      <c r="D4" s="3" t="s">
        <v>47</v>
      </c>
    </row>
    <row r="5" spans="1:4" ht="50" customHeight="1">
      <c r="A5" s="1" t="s">
        <v>48</v>
      </c>
      <c r="B5" s="1" t="s">
        <v>49</v>
      </c>
      <c r="C5" s="4">
        <v>152250</v>
      </c>
      <c r="D5" s="4">
        <v>0</v>
      </c>
    </row>
    <row r="6" spans="1:4" ht="50" customHeight="1">
      <c r="A6" s="1" t="s">
        <v>48</v>
      </c>
      <c r="B6" s="1" t="s">
        <v>50</v>
      </c>
      <c r="C6" s="4">
        <v>0</v>
      </c>
      <c r="D6" s="4">
        <v>152250</v>
      </c>
    </row>
    <row r="8" spans="1:4">
      <c r="B8" s="1" t="s">
        <v>51</v>
      </c>
      <c r="C8" s="4">
        <f>SUM(C5:C6)</f>
        <v>152250.0</v>
      </c>
      <c r="D8" s="4">
        <f>SUM(D5:D6)</f>
        <v>152250.0</v>
      </c>
    </row>
    <row r="9" spans="1:4">
      <c r="B9" s="1" t="s">
        <v>52</v>
      </c>
      <c r="C9" s="4">
        <f>C8-D8</f>
        <v>0</v>
      </c>
    </row>
    <row r="11" spans="1:4">
      <c r="A11" s="1" t="s">
        <v>53</v>
      </c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</sheetData>
  <mergeCells count="3">
    <mergeCell ref="A1:D1"/>
    <mergeCell ref="A2:D2"/>
    <mergeCell ref="A11:D13"/>
  </mergeCells>
  <pageMargins left="0.4" right="0.4" top="0.4" bottom="0.65" header="0.3" footer="0.25"/>
  <pageSetup paperSize="1" orientation="landscape"/>
  <headerFooter>
    <oddFooter>SH-FIN-BILL-001 | Conditional forecast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2.7109375" style="1" customWidth="1"/>
    <col min="2" max="2" width="98.7109375" style="1" customWidth="1"/>
  </cols>
  <sheetData>
    <row r="1" spans="1:2" ht="30" customHeight="1">
      <c r="A1" s="2" t="s">
        <v>54</v>
      </c>
      <c r="B1" s="2"/>
    </row>
    <row r="2" spans="1:2" ht="26" customHeight="1">
      <c r="A2" s="1" t="s">
        <v>1</v>
      </c>
      <c r="B2" s="1"/>
    </row>
    <row r="4" spans="1:2" ht="30" customHeight="1">
      <c r="A4" s="3" t="s">
        <v>55</v>
      </c>
      <c r="B4" s="3" t="s">
        <v>3</v>
      </c>
    </row>
    <row r="5" spans="1:2" ht="38" customHeight="1">
      <c r="A5" s="1" t="s">
        <v>56</v>
      </c>
      <c r="B5" s="1" t="s">
        <v>57</v>
      </c>
    </row>
    <row r="6" spans="1:2" ht="38" customHeight="1">
      <c r="A6" s="1" t="s">
        <v>58</v>
      </c>
      <c r="B6" s="1" t="s">
        <v>59</v>
      </c>
    </row>
    <row r="7" spans="1:2" ht="38" customHeight="1">
      <c r="A7" s="1" t="s">
        <v>60</v>
      </c>
      <c r="B7" s="1" t="s">
        <v>61</v>
      </c>
    </row>
    <row r="8" spans="1:2" ht="38" customHeight="1">
      <c r="A8" s="1" t="s">
        <v>62</v>
      </c>
      <c r="B8" s="1" t="s">
        <v>63</v>
      </c>
    </row>
    <row r="9" spans="1:2" ht="38" customHeight="1">
      <c r="A9" s="1" t="s">
        <v>64</v>
      </c>
      <c r="B9" s="1" t="s">
        <v>65</v>
      </c>
    </row>
    <row r="10" spans="1:2" ht="38" customHeight="1">
      <c r="A10" s="1" t="s">
        <v>66</v>
      </c>
      <c r="B10" s="1" t="s">
        <v>67</v>
      </c>
    </row>
    <row r="11" spans="1:2" ht="38" customHeight="1">
      <c r="A11" s="1" t="s">
        <v>68</v>
      </c>
      <c r="B11" s="1" t="s">
        <v>69</v>
      </c>
    </row>
    <row r="12" spans="1:2" ht="38" customHeight="1">
      <c r="A12" s="1" t="s">
        <v>70</v>
      </c>
      <c r="B12" s="1" t="s">
        <v>71</v>
      </c>
    </row>
    <row r="13" spans="1:2" ht="38" customHeight="1">
      <c r="A13" s="1" t="s">
        <v>72</v>
      </c>
      <c r="B13" s="1" t="s">
        <v>73</v>
      </c>
    </row>
    <row r="14" spans="1:2" ht="38" customHeight="1">
      <c r="A14" s="1" t="s">
        <v>74</v>
      </c>
      <c r="B14" s="1" t="s">
        <v>75</v>
      </c>
    </row>
  </sheetData>
  <mergeCells count="2">
    <mergeCell ref="A1:B1"/>
    <mergeCell ref="A2:B2"/>
  </mergeCells>
  <pageMargins left="0.4" right="0.4" top="0.4" bottom="0.65" header="0.3" footer="0.25"/>
  <pageSetup paperSize="1" orientation="landscape"/>
  <headerFooter>
    <oddFooter>SH-FIN-BILL-001 | Conditional forecast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Invoice and tax</vt:lpstr>
      <vt:lpstr>Principal history</vt:lpstr>
      <vt:lpstr>Tax journal</vt:lpstr>
      <vt:lpstr>Source register</vt:lpstr>
      <vt:lpstr>'Invoice and tax'!Print_Area</vt:lpstr>
      <vt:lpstr>'Principal history'!Print_Area</vt:lpstr>
      <vt:lpstr>'Source register'!Print_Area</vt:lpstr>
      <vt:lpstr>'Tax journal'!Print_Area</vt:lpstr>
      <vt:lpstr>'Invoice and tax'!Print_Titles</vt:lpstr>
      <vt:lpstr>'Principal history'!Print_Titles</vt:lpstr>
      <vt:lpstr>'Source register'!Print_Titles</vt:lpstr>
      <vt:lpstr>'Tax journal'!Print_Titles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Foundry Field | FF-003 billing</dc:title>
  <dc:creator>Sable Harbor</dc:creator>
  <cp:lastModifiedBy>Sable Harbor</cp:lastModifiedBy>
  <dcterms:created xsi:type="dcterms:W3CDTF">2026-09-13T00:00:00Z</dcterms:created>
  <dcterms:modified xsi:type="dcterms:W3CDTF">2026-09-13T00:00:00Z</dcterms:modified>
</cp:coreProperties>
</file>