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01 acquisition_cashflow_bridge" sheetId="2" r:id="rId2"/>
    <sheet name="02 enterprise_tax_allocation_b" sheetId="3" r:id="rId3"/>
    <sheet name="03 acquisition_ppa" sheetId="4" r:id="rId4"/>
    <sheet name="04 aru_2026_assets" sheetId="5" r:id="rId5"/>
    <sheet name="05 aru_2026_debt" sheetId="6" r:id="rId6"/>
    <sheet name="06 aru_2026_tax_rollforward" sheetId="7" r:id="rId7"/>
    <sheet name="07 aru_acquisition_opening_tri" sheetId="8" r:id="rId8"/>
    <sheet name="Checks" sheetId="9" r:id="rId9"/>
  </sheets>
  <definedNames>
    <definedName name="_xlnm._FilterDatabase" localSheetId="1" hidden="1">'01 acquisition_cashflow_bridge'!$A$4:$P$5</definedName>
    <definedName name="_xlnm._FilterDatabase" localSheetId="2" hidden="1">'02 enterprise_tax_allocation_b'!$A$4:$P$76</definedName>
    <definedName name="_xlnm._FilterDatabase" localSheetId="3" hidden="1">'03 acquisition_ppa'!$A$4:$B$22</definedName>
    <definedName name="_xlnm._FilterDatabase" localSheetId="4" hidden="1">'04 aru_2026_assets'!$A$4:$H$16</definedName>
    <definedName name="_xlnm._FilterDatabase" localSheetId="5" hidden="1">'05 aru_2026_debt'!$A$4:$K$16</definedName>
    <definedName name="_xlnm._FilterDatabase" localSheetId="6" hidden="1">'06 aru_2026_tax_rollforward'!$A$4:$O$16</definedName>
    <definedName name="_xlnm._FilterDatabase" localSheetId="7" hidden="1">'07 aru_acquisition_opening_tri'!$A$4:$H$20</definedName>
    <definedName name="_xlnm.Print_Area" localSheetId="1">'01 acquisition_cashflow_bridge'!$A$1:$G$5</definedName>
    <definedName name="_xlnm.Print_Area" localSheetId="2">'02 enterprise_tax_allocation_b'!$A$1:$G$16</definedName>
    <definedName name="_xlnm.Print_Area" localSheetId="3">'03 acquisition_ppa'!$A$1:$B$16</definedName>
    <definedName name="_xlnm.Print_Area" localSheetId="4">'04 aru_2026_assets'!$A$1:$G$16</definedName>
    <definedName name="_xlnm.Print_Area" localSheetId="5">'05 aru_2026_debt'!$A$1:$G$16</definedName>
    <definedName name="_xlnm.Print_Area" localSheetId="6">'06 aru_2026_tax_rollforward'!$A$1:$G$16</definedName>
    <definedName name="_xlnm.Print_Area" localSheetId="7">'07 aru_acquisition_opening_tri'!$A$1:$G$16</definedName>
    <definedName name="_xlnm.Print_Area" localSheetId="8">Checks!$A$1:$D$5</definedName>
    <definedName name="_xlnm.Print_Area" localSheetId="0">Guide!$A$1:$D$17</definedName>
    <definedName name="_xlnm.Print_Titles" localSheetId="1">'01 acquisition_cashflow_bridge'!$1:$4</definedName>
    <definedName name="_xlnm.Print_Titles" localSheetId="2">'02 enterprise_tax_allocation_b'!$1:$4</definedName>
    <definedName name="_xlnm.Print_Titles" localSheetId="3">'03 acquisition_ppa'!$1:$4</definedName>
    <definedName name="_xlnm.Print_Titles" localSheetId="4">'04 aru_2026_assets'!$1:$4</definedName>
    <definedName name="_xlnm.Print_Titles" localSheetId="5">'05 aru_2026_debt'!$1:$4</definedName>
    <definedName name="_xlnm.Print_Titles" localSheetId="6">'06 aru_2026_tax_rollforward'!$1:$4</definedName>
    <definedName name="_xlnm.Print_Titles" localSheetId="7">'07 aru_acquisition_opening_tri'!$1:$4</definedName>
    <definedName name="_xlnm.Print_Titles" localSheetId="8">Checks!$1:$4</definedName>
    <definedName name="_xlnm.Print_Titles" localSheetId="0">Guide!$1:$4</definedName>
  </definedNames>
  <calcPr calcId="124519" fullCalcOnLoad="1"/>
</workbook>
</file>

<file path=xl/sharedStrings.xml><?xml version="1.0" encoding="utf-8"?>
<sst xmlns="http://schemas.openxmlformats.org/spreadsheetml/2006/main" count="988" uniqueCount="178">
  <si>
    <t>Guide</t>
  </si>
  <si>
    <t>DRAFT • tax-transaction • base / 2026-01–2026-12</t>
  </si>
  <si>
    <t>Table / scope</t>
  </si>
  <si>
    <t>Rows</t>
  </si>
  <si>
    <t>Excel sheet</t>
  </si>
  <si>
    <t>Source CSV</t>
  </si>
  <si>
    <t>01 acquisition_cashflow_bridge</t>
  </si>
  <si>
    <t>year</t>
  </si>
  <si>
    <t>month</t>
  </si>
  <si>
    <t>scenario</t>
  </si>
  <si>
    <t>stock consideration usd</t>
  </si>
  <si>
    <t>cash acquired usd</t>
  </si>
  <si>
    <t>acquisition investing cash usd</t>
  </si>
  <si>
    <t>parent acquisition capital usd</t>
  </si>
  <si>
    <t>transaction operating expense usd</t>
  </si>
  <si>
    <t>net external financing usd</t>
  </si>
  <si>
    <t>net cash change usd</t>
  </si>
  <si>
    <t>source</t>
  </si>
  <si>
    <t>available at</t>
  </si>
  <si>
    <t>created on</t>
  </si>
  <si>
    <t>record origin</t>
  </si>
  <si>
    <t>fact state</t>
  </si>
  <si>
    <t>period role</t>
  </si>
  <si>
    <t>2026</t>
  </si>
  <si>
    <t>1</t>
  </si>
  <si>
    <t>base</t>
  </si>
  <si>
    <t>Accepted acquisition sources and uses</t>
  </si>
  <si>
    <t>2026-09-09T00:00:00Z</t>
  </si>
  <si>
    <t>2026-09-09</t>
  </si>
  <si>
    <t>PUBLIC_SYNTHETIC_PLANNING_MODEL</t>
  </si>
  <si>
    <t>SYNTHETIC_SUCCESSOR_RECONSTRUCTION</t>
  </si>
  <si>
    <t>SYNTHETIC_CALIBRATION_AND_FORECAST</t>
  </si>
  <si>
    <t>acquisition_cashflow_bridge</t>
  </si>
  <si>
    <t>source/acquisition_cashflow_bridge.csv</t>
  </si>
  <si>
    <t>02 enterprise_tax_allocation_b</t>
  </si>
  <si>
    <t>entity</t>
  </si>
  <si>
    <t>preallocation net income usd</t>
  </si>
  <si>
    <t>book only fee expense usd</t>
  </si>
  <si>
    <t>book only fee revenue usd</t>
  </si>
  <si>
    <t>postallocation net income usd</t>
  </si>
  <si>
    <t>current tax change from allocation usd</t>
  </si>
  <si>
    <t>deferred tax change from allocation usd</t>
  </si>
  <si>
    <t>tax treatment</t>
  </si>
  <si>
    <t>SHI</t>
  </si>
  <si>
    <t>Book-only management allocation; no assumed income-tax deduction or recipient taxable-income uplift until legal tax characterization is established. Forecast operating-company tax is unchanged by this reporting charge.</t>
  </si>
  <si>
    <t>SHIH</t>
  </si>
  <si>
    <t>PS</t>
  </si>
  <si>
    <t>RWH</t>
  </si>
  <si>
    <t>ARU</t>
  </si>
  <si>
    <t>BST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</si>
  <si>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</si>
  <si>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</si>
  <si>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</si>
  <si>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</si>
  <si>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</si>
  <si>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</si>
  <si>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</si>
  <si>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</si>
  <si>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</si>
  <si>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</si>
  <si>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</si>
  <si>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enterprise_tax_allocation_bridge</t>
  </si>
  <si>
    <t>source/enterprise_tax_allocation_bridge.csv</t>
  </si>
  <si>
    <t>03 acquisition_ppa</t>
  </si>
  <si>
    <t>amount usd</t>
  </si>
  <si>
    <t>measure</t>
  </si>
  <si>
    <t>net_book_equity_after_excess_cash_distribution_usd</t>
  </si>
  <si>
    <t>book_ppe_net_usd</t>
  </si>
  <si>
    <t>fair_ppe_usd</t>
  </si>
  <si>
    <t>fair_ppe_step_up_usd</t>
  </si>
  <si>
    <t>identifiable_net_assets_before_refinancing_usd</t>
  </si>
  <si>
    <t>stock_consideration_usd</t>
  </si>
  <si>
    <t>goodwill_usd</t>
  </si>
  <si>
    <t>tax_goodwill_basis_usd</t>
  </si>
  <si>
    <t>initial_book_goodwill_excess_over_tax_usd</t>
  </si>
  <si>
    <t>close_sources_before_fees_usd</t>
  </si>
  <si>
    <t>close_uses_before_fees_usd</t>
  </si>
  <si>
    <t>deferred_tax_asset_usd</t>
  </si>
  <si>
    <t>deferred_tax_basis_usd</t>
  </si>
  <si>
    <t>new_debt_upstream_acquisition_distribution_usd</t>
  </si>
  <si>
    <t>parent_cash_before_fees_usd</t>
  </si>
  <si>
    <t>parent_cash_including_fees_usd</t>
  </si>
  <si>
    <t>working_capital_usd</t>
  </si>
  <si>
    <t>working_capital_true_up_usd</t>
  </si>
  <si>
    <t>acquisition_ppa</t>
  </si>
  <si>
    <t>acquisition_ppa.csv</t>
  </si>
  <si>
    <t>04 aru_2026_assets</t>
  </si>
  <si>
    <t>sustaining additions usd</t>
  </si>
  <si>
    <t>catchup additions usd</t>
  </si>
  <si>
    <t>phase1 additions usd</t>
  </si>
  <si>
    <t>legacy depreciation usd</t>
  </si>
  <si>
    <t>new program depreciation usd</t>
  </si>
  <si>
    <t>ppe gross usd</t>
  </si>
  <si>
    <t>ppe accumulated depreciation usd</t>
  </si>
  <si>
    <t>aru_2026_assets</t>
  </si>
  <si>
    <t>aru_2026_assets.csv</t>
  </si>
  <si>
    <t>05 aru_2026_debt</t>
  </si>
  <si>
    <t>opening term usd</t>
  </si>
  <si>
    <t>term principal usd</t>
  </si>
  <si>
    <t>term interest usd</t>
  </si>
  <si>
    <t>closing term usd</t>
  </si>
  <si>
    <t>lease principal usd</t>
  </si>
  <si>
    <t>lease interest usd</t>
  </si>
  <si>
    <t>closing lease usd</t>
  </si>
  <si>
    <t>debt issue amortization usd</t>
  </si>
  <si>
    <t>deferred debt issue cost usd</t>
  </si>
  <si>
    <t>revolver draw usd</t>
  </si>
  <si>
    <t>aru_2026_debt</t>
  </si>
  <si>
    <t>aru_2026_debt.csv</t>
  </si>
  <si>
    <t>06 aru_2026_tax_rollforward</t>
  </si>
  <si>
    <t>book pretax income usd</t>
  </si>
  <si>
    <t>cumulative book pretax income usd</t>
  </si>
  <si>
    <t>cumulative goodwill tax deduction usd</t>
  </si>
  <si>
    <t>cumulative taxable income usd</t>
  </si>
  <si>
    <t>current tax expense usd</t>
  </si>
  <si>
    <t>deferred tax expense usd</t>
  </si>
  <si>
    <t>current tax cash paid usd</t>
  </si>
  <si>
    <t>current tax settlement signed balance usd</t>
  </si>
  <si>
    <t>deferred tax asset reserves usd</t>
  </si>
  <si>
    <t>deferred tax asset interim loss usd</t>
  </si>
  <si>
    <t>deferred tax liability goodwill usd</t>
  </si>
  <si>
    <t>goodwill tax basis usd</t>
  </si>
  <si>
    <t>goodwill book basis usd</t>
  </si>
  <si>
    <t>initial goodwill excess excluded from opening dtl usd</t>
  </si>
  <si>
    <t>aru_2026_tax_rollforward</t>
  </si>
  <si>
    <t>aru_2026_tax_rollforward.csv</t>
  </si>
  <si>
    <t>07 aru_acquisition_opening_tri</t>
  </si>
  <si>
    <t>signed usd</t>
  </si>
  <si>
    <t>account</t>
  </si>
  <si>
    <t>account name</t>
  </si>
  <si>
    <t>type</t>
  </si>
  <si>
    <t>debit balance usd</t>
  </si>
  <si>
    <t>credit balance usd</t>
  </si>
  <si>
    <t>ARU_GROUP</t>
  </si>
  <si>
    <t>1000</t>
  </si>
  <si>
    <t>Cash</t>
  </si>
  <si>
    <t>asset</t>
  </si>
  <si>
    <t>1100</t>
  </si>
  <si>
    <t>External receivables, net of allowance</t>
  </si>
  <si>
    <t>1200</t>
  </si>
  <si>
    <t>Inventory cash cost</t>
  </si>
  <si>
    <t>1300</t>
  </si>
  <si>
    <t>Prepaids</t>
  </si>
  <si>
    <t>1400</t>
  </si>
  <si>
    <t>PPE gross</t>
  </si>
  <si>
    <t>1500</t>
  </si>
  <si>
    <t>Finance lease ROU gross</t>
  </si>
  <si>
    <t>1600</t>
  </si>
  <si>
    <t>Goodwill</t>
  </si>
  <si>
    <t>1700</t>
  </si>
  <si>
    <t>Debt issuance cost, contra term debt</t>
  </si>
  <si>
    <t>liability</t>
  </si>
  <si>
    <t>1800</t>
  </si>
  <si>
    <t>Deferred tax asset on reserved liabilities</t>
  </si>
  <si>
    <t>2000</t>
  </si>
  <si>
    <t>Trade payables</t>
  </si>
  <si>
    <t>2100</t>
  </si>
  <si>
    <t>Operating accruals</t>
  </si>
  <si>
    <t>2200</t>
  </si>
  <si>
    <t>Environmental reserve / ARO</t>
  </si>
  <si>
    <t>2300</t>
  </si>
  <si>
    <t>Claim reserve / other liabilities</t>
  </si>
  <si>
    <t>2400</t>
  </si>
  <si>
    <t>Term debt face value</t>
  </si>
  <si>
    <t>2600</t>
  </si>
  <si>
    <t>Finance lease obligation</t>
  </si>
  <si>
    <t>3000</t>
  </si>
  <si>
    <t>Contributed equity</t>
  </si>
  <si>
    <t>equity</t>
  </si>
  <si>
    <t>aru_acquisition_opening_trial_balance</t>
  </si>
  <si>
    <t>aru_acquisition_opening_trial_balance.csv</t>
  </si>
  <si>
    <t>This separate base-2026 bridge is not added to base-2027 activity. ARU filing-ready is not IRS filing or acceptance. Tax/book PPA assumptions remain conditional current industrial source records, not an election, return or valuation opinion. Red Wash escrow/holdback are included in purchase consideration rather than extra price.</t>
  </si>
  <si>
    <t>Checks</t>
  </si>
  <si>
    <t>Test</t>
  </si>
  <si>
    <t>Rows/groups</t>
  </si>
  <si>
    <t>Maximum difference USD</t>
  </si>
  <si>
    <t>Within 0.02</t>
  </si>
  <si>
    <t>Acquisition consideration less acquired cash</t>
  </si>
</sst>
</file>

<file path=xl/styles.xml><?xml version="1.0" encoding="utf-8"?>
<styleSheet xmlns="http://schemas.openxmlformats.org/spreadsheetml/2006/main">
  <numFmts count="1">
    <numFmt numFmtId="164" formatCode="#,##0.00;[Red](#,##0.00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121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indent="1" wrapText="1"/>
    </xf>
    <xf numFmtId="0" fontId="2" fillId="0" borderId="0" xfId="0" applyFont="1"/>
    <xf numFmtId="0" fontId="3" fillId="2" borderId="0" xfId="0" applyFont="1" applyFill="1" applyAlignment="1">
      <alignment horizontal="left" vertical="center" indent="1" wrapText="1"/>
    </xf>
    <xf numFmtId="164" fontId="1" fillId="0" borderId="1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7.7109375" customWidth="1"/>
    <col min="2" max="2" width="22.7109375" style="1" customWidth="1"/>
    <col min="3" max="4" width="34.7109375" customWidth="1"/>
    <col min="5" max="7" width="22.7109375" style="1" customWidth="1"/>
  </cols>
  <sheetData>
    <row r="1" spans="1:4" ht="32" customHeight="1">
      <c r="A1" s="2" t="s">
        <v>0</v>
      </c>
      <c r="B1" s="2"/>
      <c r="C1" s="2"/>
      <c r="D1" s="2"/>
    </row>
    <row r="2" spans="1:4" ht="30" customHeight="1">
      <c r="A2" s="1" t="s">
        <v>1</v>
      </c>
      <c r="B2" s="1"/>
      <c r="C2" s="1"/>
      <c r="D2" s="1"/>
    </row>
    <row r="4" spans="1:4" ht="42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34" customHeight="1">
      <c r="A5" s="1" t="s">
        <v>32</v>
      </c>
      <c r="B5" s="1">
        <v>1</v>
      </c>
      <c r="C5" s="1" t="s">
        <v>6</v>
      </c>
      <c r="D5" s="1" t="s">
        <v>33</v>
      </c>
    </row>
    <row r="6" spans="1:4" ht="34" customHeight="1">
      <c r="A6" s="1" t="s">
        <v>61</v>
      </c>
      <c r="B6" s="1">
        <v>72</v>
      </c>
      <c r="C6" s="1" t="s">
        <v>34</v>
      </c>
      <c r="D6" s="1" t="s">
        <v>62</v>
      </c>
    </row>
    <row r="7" spans="1:4" ht="34" customHeight="1">
      <c r="A7" s="1" t="s">
        <v>84</v>
      </c>
      <c r="B7" s="1">
        <v>18</v>
      </c>
      <c r="C7" s="1" t="s">
        <v>63</v>
      </c>
      <c r="D7" s="1" t="s">
        <v>85</v>
      </c>
    </row>
    <row r="8" spans="1:4" ht="34" customHeight="1">
      <c r="A8" s="1" t="s">
        <v>94</v>
      </c>
      <c r="B8" s="1">
        <v>12</v>
      </c>
      <c r="C8" s="1" t="s">
        <v>86</v>
      </c>
      <c r="D8" s="1" t="s">
        <v>95</v>
      </c>
    </row>
    <row r="9" spans="1:4" ht="34" customHeight="1">
      <c r="A9" s="1" t="s">
        <v>107</v>
      </c>
      <c r="B9" s="1">
        <v>12</v>
      </c>
      <c r="C9" s="1" t="s">
        <v>96</v>
      </c>
      <c r="D9" s="1" t="s">
        <v>108</v>
      </c>
    </row>
    <row r="10" spans="1:4" ht="34" customHeight="1">
      <c r="A10" s="1" t="s">
        <v>124</v>
      </c>
      <c r="B10" s="1">
        <v>12</v>
      </c>
      <c r="C10" s="1" t="s">
        <v>109</v>
      </c>
      <c r="D10" s="1" t="s">
        <v>125</v>
      </c>
    </row>
    <row r="11" spans="1:4" ht="34" customHeight="1">
      <c r="A11" s="1" t="s">
        <v>169</v>
      </c>
      <c r="B11" s="1">
        <v>16</v>
      </c>
      <c r="C11" s="1" t="s">
        <v>126</v>
      </c>
      <c r="D11" s="1" t="s">
        <v>170</v>
      </c>
    </row>
    <row r="13" spans="1:4" ht="30" customHeight="1">
      <c r="A13" s="1" t="s">
        <v>171</v>
      </c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</sheetData>
  <mergeCells count="3">
    <mergeCell ref="A1:D1"/>
    <mergeCell ref="A2:D2"/>
    <mergeCell ref="A13:D17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6" width="22.7109375" style="1" customWidth="1"/>
  </cols>
  <sheetData>
    <row r="1" spans="1:16" ht="32" customHeight="1">
      <c r="A1" s="2" t="s">
        <v>6</v>
      </c>
      <c r="B1" s="2"/>
      <c r="C1" s="2"/>
      <c r="D1" s="2"/>
      <c r="E1" s="2"/>
      <c r="F1" s="2"/>
      <c r="G1" s="2"/>
    </row>
    <row r="2" spans="1:16" ht="30" customHeight="1">
      <c r="A2" s="1" t="s">
        <v>1</v>
      </c>
      <c r="B2" s="1"/>
      <c r="C2" s="1"/>
      <c r="D2" s="1"/>
      <c r="E2" s="1"/>
      <c r="F2" s="1"/>
      <c r="G2" s="1"/>
    </row>
    <row r="4" spans="1:16" ht="42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</row>
    <row r="5" spans="1:16" ht="46" customHeight="1">
      <c r="A5" s="1" t="s">
        <v>23</v>
      </c>
      <c r="B5" s="1" t="s">
        <v>24</v>
      </c>
      <c r="C5" s="1" t="s">
        <v>25</v>
      </c>
      <c r="D5" s="4">
        <v>48000000</v>
      </c>
      <c r="E5" s="4">
        <v>2000000</v>
      </c>
      <c r="F5" s="4">
        <v>-46000000</v>
      </c>
      <c r="G5" s="4">
        <v>39300000</v>
      </c>
      <c r="H5" s="4">
        <v>900000</v>
      </c>
      <c r="I5" s="4">
        <v>8700000</v>
      </c>
      <c r="J5" s="4">
        <v>0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</row>
  </sheetData>
  <autoFilter ref="A4:P5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7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6" width="22.7109375" style="1" customWidth="1"/>
  </cols>
  <sheetData>
    <row r="1" spans="1:16" ht="32" customHeight="1">
      <c r="A1" s="2" t="s">
        <v>34</v>
      </c>
      <c r="B1" s="2"/>
      <c r="C1" s="2"/>
      <c r="D1" s="2"/>
      <c r="E1" s="2"/>
      <c r="F1" s="2"/>
      <c r="G1" s="2"/>
    </row>
    <row r="2" spans="1:16" ht="30" customHeight="1">
      <c r="A2" s="1" t="s">
        <v>1</v>
      </c>
      <c r="B2" s="1"/>
      <c r="C2" s="1"/>
      <c r="D2" s="1"/>
      <c r="E2" s="1"/>
      <c r="F2" s="1"/>
      <c r="G2" s="1"/>
    </row>
    <row r="4" spans="1:16" ht="42" customHeight="1">
      <c r="A4" s="3" t="s">
        <v>7</v>
      </c>
      <c r="B4" s="3" t="s">
        <v>8</v>
      </c>
      <c r="C4" s="3" t="s">
        <v>35</v>
      </c>
      <c r="D4" s="3" t="s">
        <v>9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</row>
    <row r="5" spans="1:16" ht="46" customHeight="1">
      <c r="A5" s="1" t="s">
        <v>23</v>
      </c>
      <c r="B5" s="1" t="s">
        <v>24</v>
      </c>
      <c r="C5" s="1" t="s">
        <v>43</v>
      </c>
      <c r="D5" s="1" t="s">
        <v>25</v>
      </c>
      <c r="E5" s="4">
        <v>-787500</v>
      </c>
      <c r="F5" s="4">
        <v>0</v>
      </c>
      <c r="G5" s="4">
        <v>0</v>
      </c>
      <c r="H5" s="4">
        <v>-787500</v>
      </c>
      <c r="I5" s="4">
        <v>0</v>
      </c>
      <c r="J5" s="4">
        <v>0</v>
      </c>
      <c r="K5" s="1" t="s">
        <v>44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</row>
    <row r="6" spans="1:16" ht="46" customHeight="1">
      <c r="A6" s="1" t="s">
        <v>23</v>
      </c>
      <c r="B6" s="1" t="s">
        <v>24</v>
      </c>
      <c r="C6" s="1" t="s">
        <v>45</v>
      </c>
      <c r="D6" s="1" t="s">
        <v>25</v>
      </c>
      <c r="E6" s="4">
        <v>-900000</v>
      </c>
      <c r="F6" s="4">
        <v>0</v>
      </c>
      <c r="G6" s="4">
        <v>0</v>
      </c>
      <c r="H6" s="4">
        <v>-900000</v>
      </c>
      <c r="I6" s="4">
        <v>0</v>
      </c>
      <c r="J6" s="4">
        <v>0</v>
      </c>
      <c r="K6" s="1" t="s">
        <v>44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</row>
    <row r="7" spans="1:16" ht="46" customHeight="1">
      <c r="A7" s="1" t="s">
        <v>23</v>
      </c>
      <c r="B7" s="1" t="s">
        <v>24</v>
      </c>
      <c r="C7" s="1" t="s">
        <v>46</v>
      </c>
      <c r="D7" s="1" t="s">
        <v>25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1" t="s">
        <v>44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</row>
    <row r="8" spans="1:16" ht="46" customHeight="1">
      <c r="A8" s="1" t="s">
        <v>23</v>
      </c>
      <c r="B8" s="1" t="s">
        <v>24</v>
      </c>
      <c r="C8" s="1" t="s">
        <v>47</v>
      </c>
      <c r="D8" s="1" t="s">
        <v>25</v>
      </c>
      <c r="E8" s="4">
        <v>78194</v>
      </c>
      <c r="F8" s="4">
        <v>0</v>
      </c>
      <c r="G8" s="4">
        <v>0</v>
      </c>
      <c r="H8" s="4">
        <v>78194</v>
      </c>
      <c r="I8" s="4">
        <v>0</v>
      </c>
      <c r="J8" s="4">
        <v>0</v>
      </c>
      <c r="K8" s="1" t="s">
        <v>44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</row>
    <row r="9" spans="1:16" ht="46" customHeight="1">
      <c r="A9" s="1" t="s">
        <v>23</v>
      </c>
      <c r="B9" s="1" t="s">
        <v>24</v>
      </c>
      <c r="C9" s="1" t="s">
        <v>48</v>
      </c>
      <c r="D9" s="1" t="s">
        <v>25</v>
      </c>
      <c r="E9" s="4">
        <v>63568</v>
      </c>
      <c r="F9" s="4">
        <v>0</v>
      </c>
      <c r="G9" s="4">
        <v>0</v>
      </c>
      <c r="H9" s="4">
        <v>63568</v>
      </c>
      <c r="I9" s="4">
        <v>0</v>
      </c>
      <c r="J9" s="4">
        <v>0</v>
      </c>
      <c r="K9" s="1" t="s">
        <v>44</v>
      </c>
      <c r="L9" s="1" t="s">
        <v>27</v>
      </c>
      <c r="M9" s="1" t="s">
        <v>28</v>
      </c>
      <c r="N9" s="1" t="s">
        <v>29</v>
      </c>
      <c r="O9" s="1" t="s">
        <v>30</v>
      </c>
      <c r="P9" s="1" t="s">
        <v>31</v>
      </c>
    </row>
    <row r="10" spans="1:16" ht="46" customHeight="1">
      <c r="A10" s="1" t="s">
        <v>23</v>
      </c>
      <c r="B10" s="1" t="s">
        <v>24</v>
      </c>
      <c r="C10" s="1" t="s">
        <v>49</v>
      </c>
      <c r="D10" s="1" t="s">
        <v>25</v>
      </c>
      <c r="E10" s="4">
        <v>-168512</v>
      </c>
      <c r="F10" s="4">
        <v>0</v>
      </c>
      <c r="G10" s="4">
        <v>0</v>
      </c>
      <c r="H10" s="4">
        <v>-168512</v>
      </c>
      <c r="I10" s="4">
        <v>0</v>
      </c>
      <c r="J10" s="4">
        <v>0</v>
      </c>
      <c r="K10" s="1" t="s">
        <v>44</v>
      </c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</row>
    <row r="11" spans="1:16" ht="46" customHeight="1">
      <c r="A11" s="1" t="s">
        <v>23</v>
      </c>
      <c r="B11" s="1" t="s">
        <v>50</v>
      </c>
      <c r="C11" s="1" t="s">
        <v>43</v>
      </c>
      <c r="D11" s="1" t="s">
        <v>25</v>
      </c>
      <c r="E11" s="4">
        <v>-808500</v>
      </c>
      <c r="F11" s="4">
        <v>0</v>
      </c>
      <c r="G11" s="4">
        <v>0</v>
      </c>
      <c r="H11" s="4">
        <v>-808500</v>
      </c>
      <c r="I11" s="4">
        <v>0</v>
      </c>
      <c r="J11" s="4">
        <v>0</v>
      </c>
      <c r="K11" s="1" t="s">
        <v>44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</row>
    <row r="12" spans="1:16" ht="46" customHeight="1">
      <c r="A12" s="1" t="s">
        <v>23</v>
      </c>
      <c r="B12" s="1" t="s">
        <v>50</v>
      </c>
      <c r="C12" s="1" t="s">
        <v>45</v>
      </c>
      <c r="D12" s="1" t="s">
        <v>25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1" t="s">
        <v>44</v>
      </c>
      <c r="L12" s="1" t="s">
        <v>27</v>
      </c>
      <c r="M12" s="1" t="s">
        <v>28</v>
      </c>
      <c r="N12" s="1" t="s">
        <v>29</v>
      </c>
      <c r="O12" s="1" t="s">
        <v>30</v>
      </c>
      <c r="P12" s="1" t="s">
        <v>31</v>
      </c>
    </row>
    <row r="13" spans="1:16" ht="46" customHeight="1">
      <c r="A13" s="1" t="s">
        <v>23</v>
      </c>
      <c r="B13" s="1" t="s">
        <v>50</v>
      </c>
      <c r="C13" s="1" t="s">
        <v>46</v>
      </c>
      <c r="D13" s="1" t="s">
        <v>25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1" t="s">
        <v>44</v>
      </c>
      <c r="L13" s="1" t="s">
        <v>27</v>
      </c>
      <c r="M13" s="1" t="s">
        <v>28</v>
      </c>
      <c r="N13" s="1" t="s">
        <v>29</v>
      </c>
      <c r="O13" s="1" t="s">
        <v>30</v>
      </c>
      <c r="P13" s="1" t="s">
        <v>31</v>
      </c>
    </row>
    <row r="14" spans="1:16" ht="46" customHeight="1">
      <c r="A14" s="1" t="s">
        <v>23</v>
      </c>
      <c r="B14" s="1" t="s">
        <v>50</v>
      </c>
      <c r="C14" s="1" t="s">
        <v>47</v>
      </c>
      <c r="D14" s="1" t="s">
        <v>25</v>
      </c>
      <c r="E14" s="4">
        <v>78194</v>
      </c>
      <c r="F14" s="4">
        <v>0</v>
      </c>
      <c r="G14" s="4">
        <v>0</v>
      </c>
      <c r="H14" s="4">
        <v>78194</v>
      </c>
      <c r="I14" s="4">
        <v>0</v>
      </c>
      <c r="J14" s="4">
        <v>0</v>
      </c>
      <c r="K14" s="1" t="s">
        <v>44</v>
      </c>
      <c r="L14" s="1" t="s">
        <v>27</v>
      </c>
      <c r="M14" s="1" t="s">
        <v>28</v>
      </c>
      <c r="N14" s="1" t="s">
        <v>29</v>
      </c>
      <c r="O14" s="1" t="s">
        <v>30</v>
      </c>
      <c r="P14" s="1" t="s">
        <v>31</v>
      </c>
    </row>
    <row r="15" spans="1:16" ht="46" customHeight="1">
      <c r="A15" s="1" t="s">
        <v>23</v>
      </c>
      <c r="B15" s="1" t="s">
        <v>50</v>
      </c>
      <c r="C15" s="1" t="s">
        <v>48</v>
      </c>
      <c r="D15" s="1" t="s">
        <v>25</v>
      </c>
      <c r="E15" s="4">
        <v>96127</v>
      </c>
      <c r="F15" s="4">
        <v>0</v>
      </c>
      <c r="G15" s="4">
        <v>0</v>
      </c>
      <c r="H15" s="4">
        <v>96127</v>
      </c>
      <c r="I15" s="4">
        <v>0</v>
      </c>
      <c r="J15" s="4">
        <v>0</v>
      </c>
      <c r="K15" s="1" t="s">
        <v>44</v>
      </c>
      <c r="L15" s="1" t="s">
        <v>27</v>
      </c>
      <c r="M15" s="1" t="s">
        <v>28</v>
      </c>
      <c r="N15" s="1" t="s">
        <v>29</v>
      </c>
      <c r="O15" s="1" t="s">
        <v>30</v>
      </c>
      <c r="P15" s="1" t="s">
        <v>31</v>
      </c>
    </row>
    <row r="16" spans="1:16" ht="46" customHeight="1">
      <c r="A16" s="1" t="s">
        <v>23</v>
      </c>
      <c r="B16" s="1" t="s">
        <v>50</v>
      </c>
      <c r="C16" s="1" t="s">
        <v>49</v>
      </c>
      <c r="D16" s="1" t="s">
        <v>25</v>
      </c>
      <c r="E16" s="4">
        <v>-196704</v>
      </c>
      <c r="F16" s="4">
        <v>0</v>
      </c>
      <c r="G16" s="4">
        <v>0</v>
      </c>
      <c r="H16" s="4">
        <v>-196704</v>
      </c>
      <c r="I16" s="4">
        <v>0</v>
      </c>
      <c r="J16" s="4">
        <v>0</v>
      </c>
      <c r="K16" s="1" t="s">
        <v>44</v>
      </c>
      <c r="L16" s="1" t="s">
        <v>27</v>
      </c>
      <c r="M16" s="1" t="s">
        <v>28</v>
      </c>
      <c r="N16" s="1" t="s">
        <v>29</v>
      </c>
      <c r="O16" s="1" t="s">
        <v>30</v>
      </c>
      <c r="P16" s="1" t="s">
        <v>31</v>
      </c>
    </row>
    <row r="17" spans="1:16" ht="46" customHeight="1">
      <c r="A17" s="1" t="s">
        <v>23</v>
      </c>
      <c r="B17" s="1" t="s">
        <v>51</v>
      </c>
      <c r="C17" s="1" t="s">
        <v>43</v>
      </c>
      <c r="D17" s="1" t="s">
        <v>25</v>
      </c>
      <c r="E17" s="4">
        <v>-840000</v>
      </c>
      <c r="F17" s="4">
        <v>0</v>
      </c>
      <c r="G17" s="4">
        <v>0</v>
      </c>
      <c r="H17" s="4">
        <v>-840000</v>
      </c>
      <c r="I17" s="4">
        <v>0</v>
      </c>
      <c r="J17" s="4">
        <v>0</v>
      </c>
      <c r="K17" s="1" t="s">
        <v>44</v>
      </c>
      <c r="L17" s="1" t="s">
        <v>27</v>
      </c>
      <c r="M17" s="1" t="s">
        <v>28</v>
      </c>
      <c r="N17" s="1" t="s">
        <v>29</v>
      </c>
      <c r="O17" s="1" t="s">
        <v>30</v>
      </c>
      <c r="P17" s="1" t="s">
        <v>31</v>
      </c>
    </row>
    <row r="18" spans="1:16" ht="46" customHeight="1">
      <c r="A18" s="1" t="s">
        <v>23</v>
      </c>
      <c r="B18" s="1" t="s">
        <v>51</v>
      </c>
      <c r="C18" s="1" t="s">
        <v>45</v>
      </c>
      <c r="D18" s="1" t="s">
        <v>25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1" t="s">
        <v>44</v>
      </c>
      <c r="L18" s="1" t="s">
        <v>27</v>
      </c>
      <c r="M18" s="1" t="s">
        <v>28</v>
      </c>
      <c r="N18" s="1" t="s">
        <v>29</v>
      </c>
      <c r="O18" s="1" t="s">
        <v>30</v>
      </c>
      <c r="P18" s="1" t="s">
        <v>31</v>
      </c>
    </row>
    <row r="19" spans="1:16" ht="46" customHeight="1">
      <c r="A19" s="1" t="s">
        <v>23</v>
      </c>
      <c r="B19" s="1" t="s">
        <v>51</v>
      </c>
      <c r="C19" s="1" t="s">
        <v>46</v>
      </c>
      <c r="D19" s="1" t="s">
        <v>25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1" t="s">
        <v>44</v>
      </c>
      <c r="L19" s="1" t="s">
        <v>27</v>
      </c>
      <c r="M19" s="1" t="s">
        <v>28</v>
      </c>
      <c r="N19" s="1" t="s">
        <v>29</v>
      </c>
      <c r="O19" s="1" t="s">
        <v>30</v>
      </c>
      <c r="P19" s="1" t="s">
        <v>31</v>
      </c>
    </row>
    <row r="20" spans="1:16" ht="46" customHeight="1">
      <c r="A20" s="1" t="s">
        <v>23</v>
      </c>
      <c r="B20" s="1" t="s">
        <v>51</v>
      </c>
      <c r="C20" s="1" t="s">
        <v>47</v>
      </c>
      <c r="D20" s="1" t="s">
        <v>25</v>
      </c>
      <c r="E20" s="4">
        <v>78196</v>
      </c>
      <c r="F20" s="4">
        <v>0</v>
      </c>
      <c r="G20" s="4">
        <v>0</v>
      </c>
      <c r="H20" s="4">
        <v>78196</v>
      </c>
      <c r="I20" s="4">
        <v>0</v>
      </c>
      <c r="J20" s="4">
        <v>0</v>
      </c>
      <c r="K20" s="1" t="s">
        <v>44</v>
      </c>
      <c r="L20" s="1" t="s">
        <v>27</v>
      </c>
      <c r="M20" s="1" t="s">
        <v>28</v>
      </c>
      <c r="N20" s="1" t="s">
        <v>29</v>
      </c>
      <c r="O20" s="1" t="s">
        <v>30</v>
      </c>
      <c r="P20" s="1" t="s">
        <v>31</v>
      </c>
    </row>
    <row r="21" spans="1:16" ht="46" customHeight="1">
      <c r="A21" s="1" t="s">
        <v>23</v>
      </c>
      <c r="B21" s="1" t="s">
        <v>51</v>
      </c>
      <c r="C21" s="1" t="s">
        <v>48</v>
      </c>
      <c r="D21" s="1" t="s">
        <v>25</v>
      </c>
      <c r="E21" s="4">
        <v>245604</v>
      </c>
      <c r="F21" s="4">
        <v>0</v>
      </c>
      <c r="G21" s="4">
        <v>0</v>
      </c>
      <c r="H21" s="4">
        <v>245604</v>
      </c>
      <c r="I21" s="4">
        <v>0</v>
      </c>
      <c r="J21" s="4">
        <v>0</v>
      </c>
      <c r="K21" s="1" t="s">
        <v>44</v>
      </c>
      <c r="L21" s="1" t="s">
        <v>27</v>
      </c>
      <c r="M21" s="1" t="s">
        <v>28</v>
      </c>
      <c r="N21" s="1" t="s">
        <v>29</v>
      </c>
      <c r="O21" s="1" t="s">
        <v>30</v>
      </c>
      <c r="P21" s="1" t="s">
        <v>31</v>
      </c>
    </row>
    <row r="22" spans="1:16" ht="46" customHeight="1">
      <c r="A22" s="1" t="s">
        <v>23</v>
      </c>
      <c r="B22" s="1" t="s">
        <v>51</v>
      </c>
      <c r="C22" s="1" t="s">
        <v>49</v>
      </c>
      <c r="D22" s="1" t="s">
        <v>25</v>
      </c>
      <c r="E22" s="4">
        <v>-77342</v>
      </c>
      <c r="F22" s="4">
        <v>0</v>
      </c>
      <c r="G22" s="4">
        <v>0</v>
      </c>
      <c r="H22" s="4">
        <v>-77342</v>
      </c>
      <c r="I22" s="4">
        <v>0</v>
      </c>
      <c r="J22" s="4">
        <v>0</v>
      </c>
      <c r="K22" s="1" t="s">
        <v>44</v>
      </c>
      <c r="L22" s="1" t="s">
        <v>27</v>
      </c>
      <c r="M22" s="1" t="s">
        <v>28</v>
      </c>
      <c r="N22" s="1" t="s">
        <v>29</v>
      </c>
      <c r="O22" s="1" t="s">
        <v>30</v>
      </c>
      <c r="P22" s="1" t="s">
        <v>31</v>
      </c>
    </row>
    <row r="23" spans="1:16" ht="46" customHeight="1">
      <c r="A23" s="1" t="s">
        <v>23</v>
      </c>
      <c r="B23" s="1" t="s">
        <v>52</v>
      </c>
      <c r="C23" s="1" t="s">
        <v>43</v>
      </c>
      <c r="D23" s="1" t="s">
        <v>25</v>
      </c>
      <c r="E23" s="4">
        <v>-850500</v>
      </c>
      <c r="F23" s="4">
        <v>0</v>
      </c>
      <c r="G23" s="4">
        <v>0</v>
      </c>
      <c r="H23" s="4">
        <v>-850500</v>
      </c>
      <c r="I23" s="4">
        <v>0</v>
      </c>
      <c r="J23" s="4">
        <v>0</v>
      </c>
      <c r="K23" s="1" t="s">
        <v>44</v>
      </c>
      <c r="L23" s="1" t="s">
        <v>27</v>
      </c>
      <c r="M23" s="1" t="s">
        <v>28</v>
      </c>
      <c r="N23" s="1" t="s">
        <v>29</v>
      </c>
      <c r="O23" s="1" t="s">
        <v>30</v>
      </c>
      <c r="P23" s="1" t="s">
        <v>31</v>
      </c>
    </row>
    <row r="24" spans="1:16" ht="46" customHeight="1">
      <c r="A24" s="1" t="s">
        <v>23</v>
      </c>
      <c r="B24" s="1" t="s">
        <v>52</v>
      </c>
      <c r="C24" s="1" t="s">
        <v>45</v>
      </c>
      <c r="D24" s="1" t="s">
        <v>25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1" t="s">
        <v>44</v>
      </c>
      <c r="L24" s="1" t="s">
        <v>27</v>
      </c>
      <c r="M24" s="1" t="s">
        <v>28</v>
      </c>
      <c r="N24" s="1" t="s">
        <v>29</v>
      </c>
      <c r="O24" s="1" t="s">
        <v>30</v>
      </c>
      <c r="P24" s="1" t="s">
        <v>31</v>
      </c>
    </row>
    <row r="25" spans="1:16" ht="46" customHeight="1">
      <c r="A25" s="1" t="s">
        <v>23</v>
      </c>
      <c r="B25" s="1" t="s">
        <v>52</v>
      </c>
      <c r="C25" s="1" t="s">
        <v>46</v>
      </c>
      <c r="D25" s="1" t="s">
        <v>25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1" t="s">
        <v>44</v>
      </c>
      <c r="L25" s="1" t="s">
        <v>27</v>
      </c>
      <c r="M25" s="1" t="s">
        <v>28</v>
      </c>
      <c r="N25" s="1" t="s">
        <v>29</v>
      </c>
      <c r="O25" s="1" t="s">
        <v>30</v>
      </c>
      <c r="P25" s="1" t="s">
        <v>31</v>
      </c>
    </row>
    <row r="26" spans="1:16" ht="46" customHeight="1">
      <c r="A26" s="1" t="s">
        <v>23</v>
      </c>
      <c r="B26" s="1" t="s">
        <v>52</v>
      </c>
      <c r="C26" s="1" t="s">
        <v>47</v>
      </c>
      <c r="D26" s="1" t="s">
        <v>25</v>
      </c>
      <c r="E26" s="4">
        <v>78197</v>
      </c>
      <c r="F26" s="4">
        <v>0</v>
      </c>
      <c r="G26" s="4">
        <v>0</v>
      </c>
      <c r="H26" s="4">
        <v>78197</v>
      </c>
      <c r="I26" s="4">
        <v>0</v>
      </c>
      <c r="J26" s="4">
        <v>0</v>
      </c>
      <c r="K26" s="1" t="s">
        <v>44</v>
      </c>
      <c r="L26" s="1" t="s">
        <v>27</v>
      </c>
      <c r="M26" s="1" t="s">
        <v>28</v>
      </c>
      <c r="N26" s="1" t="s">
        <v>29</v>
      </c>
      <c r="O26" s="1" t="s">
        <v>30</v>
      </c>
      <c r="P26" s="1" t="s">
        <v>31</v>
      </c>
    </row>
    <row r="27" spans="1:16" ht="46" customHeight="1">
      <c r="A27" s="1" t="s">
        <v>23</v>
      </c>
      <c r="B27" s="1" t="s">
        <v>52</v>
      </c>
      <c r="C27" s="1" t="s">
        <v>48</v>
      </c>
      <c r="D27" s="1" t="s">
        <v>25</v>
      </c>
      <c r="E27" s="4">
        <v>251036</v>
      </c>
      <c r="F27" s="4">
        <v>0</v>
      </c>
      <c r="G27" s="4">
        <v>0</v>
      </c>
      <c r="H27" s="4">
        <v>251036</v>
      </c>
      <c r="I27" s="4">
        <v>0</v>
      </c>
      <c r="J27" s="4">
        <v>0</v>
      </c>
      <c r="K27" s="1" t="s">
        <v>44</v>
      </c>
      <c r="L27" s="1" t="s">
        <v>27</v>
      </c>
      <c r="M27" s="1" t="s">
        <v>28</v>
      </c>
      <c r="N27" s="1" t="s">
        <v>29</v>
      </c>
      <c r="O27" s="1" t="s">
        <v>30</v>
      </c>
      <c r="P27" s="1" t="s">
        <v>31</v>
      </c>
    </row>
    <row r="28" spans="1:16" ht="46" customHeight="1">
      <c r="A28" s="1" t="s">
        <v>23</v>
      </c>
      <c r="B28" s="1" t="s">
        <v>52</v>
      </c>
      <c r="C28" s="1" t="s">
        <v>49</v>
      </c>
      <c r="D28" s="1" t="s">
        <v>25</v>
      </c>
      <c r="E28" s="4">
        <v>-77315</v>
      </c>
      <c r="F28" s="4">
        <v>0</v>
      </c>
      <c r="G28" s="4">
        <v>0</v>
      </c>
      <c r="H28" s="4">
        <v>-77315</v>
      </c>
      <c r="I28" s="4">
        <v>0</v>
      </c>
      <c r="J28" s="4">
        <v>0</v>
      </c>
      <c r="K28" s="1" t="s">
        <v>44</v>
      </c>
      <c r="L28" s="1" t="s">
        <v>27</v>
      </c>
      <c r="M28" s="1" t="s">
        <v>28</v>
      </c>
      <c r="N28" s="1" t="s">
        <v>29</v>
      </c>
      <c r="O28" s="1" t="s">
        <v>30</v>
      </c>
      <c r="P28" s="1" t="s">
        <v>31</v>
      </c>
    </row>
    <row r="29" spans="1:16" ht="46" customHeight="1">
      <c r="A29" s="1" t="s">
        <v>23</v>
      </c>
      <c r="B29" s="1" t="s">
        <v>53</v>
      </c>
      <c r="C29" s="1" t="s">
        <v>43</v>
      </c>
      <c r="D29" s="1" t="s">
        <v>25</v>
      </c>
      <c r="E29" s="4">
        <v>-861000</v>
      </c>
      <c r="F29" s="4">
        <v>0</v>
      </c>
      <c r="G29" s="4">
        <v>0</v>
      </c>
      <c r="H29" s="4">
        <v>-861000</v>
      </c>
      <c r="I29" s="4">
        <v>0</v>
      </c>
      <c r="J29" s="4">
        <v>0</v>
      </c>
      <c r="K29" s="1" t="s">
        <v>44</v>
      </c>
      <c r="L29" s="1" t="s">
        <v>27</v>
      </c>
      <c r="M29" s="1" t="s">
        <v>28</v>
      </c>
      <c r="N29" s="1" t="s">
        <v>29</v>
      </c>
      <c r="O29" s="1" t="s">
        <v>30</v>
      </c>
      <c r="P29" s="1" t="s">
        <v>31</v>
      </c>
    </row>
    <row r="30" spans="1:16" ht="46" customHeight="1">
      <c r="A30" s="1" t="s">
        <v>23</v>
      </c>
      <c r="B30" s="1" t="s">
        <v>53</v>
      </c>
      <c r="C30" s="1" t="s">
        <v>45</v>
      </c>
      <c r="D30" s="1" t="s">
        <v>25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1" t="s">
        <v>44</v>
      </c>
      <c r="L30" s="1" t="s">
        <v>27</v>
      </c>
      <c r="M30" s="1" t="s">
        <v>28</v>
      </c>
      <c r="N30" s="1" t="s">
        <v>29</v>
      </c>
      <c r="O30" s="1" t="s">
        <v>30</v>
      </c>
      <c r="P30" s="1" t="s">
        <v>31</v>
      </c>
    </row>
    <row r="31" spans="1:16" ht="46" customHeight="1">
      <c r="A31" s="1" t="s">
        <v>23</v>
      </c>
      <c r="B31" s="1" t="s">
        <v>53</v>
      </c>
      <c r="C31" s="1" t="s">
        <v>46</v>
      </c>
      <c r="D31" s="1" t="s">
        <v>25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1" t="s">
        <v>44</v>
      </c>
      <c r="L31" s="1" t="s">
        <v>27</v>
      </c>
      <c r="M31" s="1" t="s">
        <v>28</v>
      </c>
      <c r="N31" s="1" t="s">
        <v>29</v>
      </c>
      <c r="O31" s="1" t="s">
        <v>30</v>
      </c>
      <c r="P31" s="1" t="s">
        <v>31</v>
      </c>
    </row>
    <row r="32" spans="1:16" ht="46" customHeight="1">
      <c r="A32" s="1" t="s">
        <v>23</v>
      </c>
      <c r="B32" s="1" t="s">
        <v>53</v>
      </c>
      <c r="C32" s="1" t="s">
        <v>47</v>
      </c>
      <c r="D32" s="1" t="s">
        <v>25</v>
      </c>
      <c r="E32" s="4">
        <v>78198</v>
      </c>
      <c r="F32" s="4">
        <v>0</v>
      </c>
      <c r="G32" s="4">
        <v>0</v>
      </c>
      <c r="H32" s="4">
        <v>78198</v>
      </c>
      <c r="I32" s="4">
        <v>0</v>
      </c>
      <c r="J32" s="4">
        <v>0</v>
      </c>
      <c r="K32" s="1" t="s">
        <v>44</v>
      </c>
      <c r="L32" s="1" t="s">
        <v>27</v>
      </c>
      <c r="M32" s="1" t="s">
        <v>28</v>
      </c>
      <c r="N32" s="1" t="s">
        <v>29</v>
      </c>
      <c r="O32" s="1" t="s">
        <v>30</v>
      </c>
      <c r="P32" s="1" t="s">
        <v>31</v>
      </c>
    </row>
    <row r="33" spans="1:16" ht="46" customHeight="1">
      <c r="A33" s="1" t="s">
        <v>23</v>
      </c>
      <c r="B33" s="1" t="s">
        <v>53</v>
      </c>
      <c r="C33" s="1" t="s">
        <v>48</v>
      </c>
      <c r="D33" s="1" t="s">
        <v>25</v>
      </c>
      <c r="E33" s="4">
        <v>409912</v>
      </c>
      <c r="F33" s="4">
        <v>0</v>
      </c>
      <c r="G33" s="4">
        <v>0</v>
      </c>
      <c r="H33" s="4">
        <v>409912</v>
      </c>
      <c r="I33" s="4">
        <v>0</v>
      </c>
      <c r="J33" s="4">
        <v>0</v>
      </c>
      <c r="K33" s="1" t="s">
        <v>44</v>
      </c>
      <c r="L33" s="1" t="s">
        <v>27</v>
      </c>
      <c r="M33" s="1" t="s">
        <v>28</v>
      </c>
      <c r="N33" s="1" t="s">
        <v>29</v>
      </c>
      <c r="O33" s="1" t="s">
        <v>30</v>
      </c>
      <c r="P33" s="1" t="s">
        <v>31</v>
      </c>
    </row>
    <row r="34" spans="1:16" ht="46" customHeight="1">
      <c r="A34" s="1" t="s">
        <v>23</v>
      </c>
      <c r="B34" s="1" t="s">
        <v>53</v>
      </c>
      <c r="C34" s="1" t="s">
        <v>49</v>
      </c>
      <c r="D34" s="1" t="s">
        <v>25</v>
      </c>
      <c r="E34" s="4">
        <v>60706</v>
      </c>
      <c r="F34" s="4">
        <v>0</v>
      </c>
      <c r="G34" s="4">
        <v>0</v>
      </c>
      <c r="H34" s="4">
        <v>60706</v>
      </c>
      <c r="I34" s="4">
        <v>0</v>
      </c>
      <c r="J34" s="4">
        <v>0</v>
      </c>
      <c r="K34" s="1" t="s">
        <v>44</v>
      </c>
      <c r="L34" s="1" t="s">
        <v>27</v>
      </c>
      <c r="M34" s="1" t="s">
        <v>28</v>
      </c>
      <c r="N34" s="1" t="s">
        <v>29</v>
      </c>
      <c r="O34" s="1" t="s">
        <v>30</v>
      </c>
      <c r="P34" s="1" t="s">
        <v>31</v>
      </c>
    </row>
    <row r="35" spans="1:16" ht="46" customHeight="1">
      <c r="A35" s="1" t="s">
        <v>23</v>
      </c>
      <c r="B35" s="1" t="s">
        <v>54</v>
      </c>
      <c r="C35" s="1" t="s">
        <v>43</v>
      </c>
      <c r="D35" s="1" t="s">
        <v>25</v>
      </c>
      <c r="E35" s="4">
        <v>-871500</v>
      </c>
      <c r="F35" s="4">
        <v>0</v>
      </c>
      <c r="G35" s="4">
        <v>0</v>
      </c>
      <c r="H35" s="4">
        <v>-871500</v>
      </c>
      <c r="I35" s="4">
        <v>0</v>
      </c>
      <c r="J35" s="4">
        <v>0</v>
      </c>
      <c r="K35" s="1" t="s">
        <v>44</v>
      </c>
      <c r="L35" s="1" t="s">
        <v>27</v>
      </c>
      <c r="M35" s="1" t="s">
        <v>28</v>
      </c>
      <c r="N35" s="1" t="s">
        <v>29</v>
      </c>
      <c r="O35" s="1" t="s">
        <v>30</v>
      </c>
      <c r="P35" s="1" t="s">
        <v>31</v>
      </c>
    </row>
    <row r="36" spans="1:16" ht="46" customHeight="1">
      <c r="A36" s="1" t="s">
        <v>23</v>
      </c>
      <c r="B36" s="1" t="s">
        <v>54</v>
      </c>
      <c r="C36" s="1" t="s">
        <v>45</v>
      </c>
      <c r="D36" s="1" t="s">
        <v>25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1" t="s">
        <v>44</v>
      </c>
      <c r="L36" s="1" t="s">
        <v>27</v>
      </c>
      <c r="M36" s="1" t="s">
        <v>28</v>
      </c>
      <c r="N36" s="1" t="s">
        <v>29</v>
      </c>
      <c r="O36" s="1" t="s">
        <v>30</v>
      </c>
      <c r="P36" s="1" t="s">
        <v>31</v>
      </c>
    </row>
    <row r="37" spans="1:16" ht="46" customHeight="1">
      <c r="A37" s="1" t="s">
        <v>23</v>
      </c>
      <c r="B37" s="1" t="s">
        <v>54</v>
      </c>
      <c r="C37" s="1" t="s">
        <v>46</v>
      </c>
      <c r="D37" s="1" t="s">
        <v>25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1" t="s">
        <v>44</v>
      </c>
      <c r="L37" s="1" t="s">
        <v>27</v>
      </c>
      <c r="M37" s="1" t="s">
        <v>28</v>
      </c>
      <c r="N37" s="1" t="s">
        <v>29</v>
      </c>
      <c r="O37" s="1" t="s">
        <v>30</v>
      </c>
      <c r="P37" s="1" t="s">
        <v>31</v>
      </c>
    </row>
    <row r="38" spans="1:16" ht="46" customHeight="1">
      <c r="A38" s="1" t="s">
        <v>23</v>
      </c>
      <c r="B38" s="1" t="s">
        <v>54</v>
      </c>
      <c r="C38" s="1" t="s">
        <v>47</v>
      </c>
      <c r="D38" s="1" t="s">
        <v>25</v>
      </c>
      <c r="E38" s="4">
        <v>78198</v>
      </c>
      <c r="F38" s="4">
        <v>0</v>
      </c>
      <c r="G38" s="4">
        <v>0</v>
      </c>
      <c r="H38" s="4">
        <v>78198</v>
      </c>
      <c r="I38" s="4">
        <v>0</v>
      </c>
      <c r="J38" s="4">
        <v>0</v>
      </c>
      <c r="K38" s="1" t="s">
        <v>44</v>
      </c>
      <c r="L38" s="1" t="s">
        <v>27</v>
      </c>
      <c r="M38" s="1" t="s">
        <v>28</v>
      </c>
      <c r="N38" s="1" t="s">
        <v>29</v>
      </c>
      <c r="O38" s="1" t="s">
        <v>30</v>
      </c>
      <c r="P38" s="1" t="s">
        <v>31</v>
      </c>
    </row>
    <row r="39" spans="1:16" ht="46" customHeight="1">
      <c r="A39" s="1" t="s">
        <v>23</v>
      </c>
      <c r="B39" s="1" t="s">
        <v>54</v>
      </c>
      <c r="C39" s="1" t="s">
        <v>48</v>
      </c>
      <c r="D39" s="1" t="s">
        <v>25</v>
      </c>
      <c r="E39" s="4">
        <v>399175</v>
      </c>
      <c r="F39" s="4">
        <v>0</v>
      </c>
      <c r="G39" s="4">
        <v>0</v>
      </c>
      <c r="H39" s="4">
        <v>399175</v>
      </c>
      <c r="I39" s="4">
        <v>0</v>
      </c>
      <c r="J39" s="4">
        <v>0</v>
      </c>
      <c r="K39" s="1" t="s">
        <v>44</v>
      </c>
      <c r="L39" s="1" t="s">
        <v>27</v>
      </c>
      <c r="M39" s="1" t="s">
        <v>28</v>
      </c>
      <c r="N39" s="1" t="s">
        <v>29</v>
      </c>
      <c r="O39" s="1" t="s">
        <v>30</v>
      </c>
      <c r="P39" s="1" t="s">
        <v>31</v>
      </c>
    </row>
    <row r="40" spans="1:16" ht="46" customHeight="1">
      <c r="A40" s="1" t="s">
        <v>23</v>
      </c>
      <c r="B40" s="1" t="s">
        <v>54</v>
      </c>
      <c r="C40" s="1" t="s">
        <v>49</v>
      </c>
      <c r="D40" s="1" t="s">
        <v>25</v>
      </c>
      <c r="E40" s="4">
        <v>60594</v>
      </c>
      <c r="F40" s="4">
        <v>0</v>
      </c>
      <c r="G40" s="4">
        <v>0</v>
      </c>
      <c r="H40" s="4">
        <v>60594</v>
      </c>
      <c r="I40" s="4">
        <v>0</v>
      </c>
      <c r="J40" s="4">
        <v>0</v>
      </c>
      <c r="K40" s="1" t="s">
        <v>44</v>
      </c>
      <c r="L40" s="1" t="s">
        <v>27</v>
      </c>
      <c r="M40" s="1" t="s">
        <v>28</v>
      </c>
      <c r="N40" s="1" t="s">
        <v>29</v>
      </c>
      <c r="O40" s="1" t="s">
        <v>30</v>
      </c>
      <c r="P40" s="1" t="s">
        <v>31</v>
      </c>
    </row>
    <row r="41" spans="1:16" ht="46" customHeight="1">
      <c r="A41" s="1" t="s">
        <v>23</v>
      </c>
      <c r="B41" s="1" t="s">
        <v>55</v>
      </c>
      <c r="C41" s="1" t="s">
        <v>43</v>
      </c>
      <c r="D41" s="1" t="s">
        <v>25</v>
      </c>
      <c r="E41" s="4">
        <v>-882000</v>
      </c>
      <c r="F41" s="4">
        <v>0</v>
      </c>
      <c r="G41" s="4">
        <v>0</v>
      </c>
      <c r="H41" s="4">
        <v>-882000</v>
      </c>
      <c r="I41" s="4">
        <v>0</v>
      </c>
      <c r="J41" s="4">
        <v>0</v>
      </c>
      <c r="K41" s="1" t="s">
        <v>44</v>
      </c>
      <c r="L41" s="1" t="s">
        <v>27</v>
      </c>
      <c r="M41" s="1" t="s">
        <v>28</v>
      </c>
      <c r="N41" s="1" t="s">
        <v>29</v>
      </c>
      <c r="O41" s="1" t="s">
        <v>30</v>
      </c>
      <c r="P41" s="1" t="s">
        <v>31</v>
      </c>
    </row>
    <row r="42" spans="1:16" ht="46" customHeight="1">
      <c r="A42" s="1" t="s">
        <v>23</v>
      </c>
      <c r="B42" s="1" t="s">
        <v>55</v>
      </c>
      <c r="C42" s="1" t="s">
        <v>45</v>
      </c>
      <c r="D42" s="1" t="s">
        <v>25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1" t="s">
        <v>44</v>
      </c>
      <c r="L42" s="1" t="s">
        <v>27</v>
      </c>
      <c r="M42" s="1" t="s">
        <v>28</v>
      </c>
      <c r="N42" s="1" t="s">
        <v>29</v>
      </c>
      <c r="O42" s="1" t="s">
        <v>30</v>
      </c>
      <c r="P42" s="1" t="s">
        <v>31</v>
      </c>
    </row>
    <row r="43" spans="1:16" ht="46" customHeight="1">
      <c r="A43" s="1" t="s">
        <v>23</v>
      </c>
      <c r="B43" s="1" t="s">
        <v>55</v>
      </c>
      <c r="C43" s="1" t="s">
        <v>46</v>
      </c>
      <c r="D43" s="1" t="s">
        <v>25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1" t="s">
        <v>44</v>
      </c>
      <c r="L43" s="1" t="s">
        <v>27</v>
      </c>
      <c r="M43" s="1" t="s">
        <v>28</v>
      </c>
      <c r="N43" s="1" t="s">
        <v>29</v>
      </c>
      <c r="O43" s="1" t="s">
        <v>30</v>
      </c>
      <c r="P43" s="1" t="s">
        <v>31</v>
      </c>
    </row>
    <row r="44" spans="1:16" ht="46" customHeight="1">
      <c r="A44" s="1" t="s">
        <v>23</v>
      </c>
      <c r="B44" s="1" t="s">
        <v>55</v>
      </c>
      <c r="C44" s="1" t="s">
        <v>47</v>
      </c>
      <c r="D44" s="1" t="s">
        <v>25</v>
      </c>
      <c r="E44" s="4">
        <v>52331</v>
      </c>
      <c r="F44" s="4">
        <v>0</v>
      </c>
      <c r="G44" s="4">
        <v>0</v>
      </c>
      <c r="H44" s="4">
        <v>52331</v>
      </c>
      <c r="I44" s="4">
        <v>0</v>
      </c>
      <c r="J44" s="4">
        <v>0</v>
      </c>
      <c r="K44" s="1" t="s">
        <v>44</v>
      </c>
      <c r="L44" s="1" t="s">
        <v>27</v>
      </c>
      <c r="M44" s="1" t="s">
        <v>28</v>
      </c>
      <c r="N44" s="1" t="s">
        <v>29</v>
      </c>
      <c r="O44" s="1" t="s">
        <v>30</v>
      </c>
      <c r="P44" s="1" t="s">
        <v>31</v>
      </c>
    </row>
    <row r="45" spans="1:16" ht="46" customHeight="1">
      <c r="A45" s="1" t="s">
        <v>23</v>
      </c>
      <c r="B45" s="1" t="s">
        <v>55</v>
      </c>
      <c r="C45" s="1" t="s">
        <v>48</v>
      </c>
      <c r="D45" s="1" t="s">
        <v>25</v>
      </c>
      <c r="E45" s="4">
        <v>404218</v>
      </c>
      <c r="F45" s="4">
        <v>0</v>
      </c>
      <c r="G45" s="4">
        <v>0</v>
      </c>
      <c r="H45" s="4">
        <v>404218</v>
      </c>
      <c r="I45" s="4">
        <v>0</v>
      </c>
      <c r="J45" s="4">
        <v>0</v>
      </c>
      <c r="K45" s="1" t="s">
        <v>44</v>
      </c>
      <c r="L45" s="1" t="s">
        <v>27</v>
      </c>
      <c r="M45" s="1" t="s">
        <v>28</v>
      </c>
      <c r="N45" s="1" t="s">
        <v>29</v>
      </c>
      <c r="O45" s="1" t="s">
        <v>30</v>
      </c>
      <c r="P45" s="1" t="s">
        <v>31</v>
      </c>
    </row>
    <row r="46" spans="1:16" ht="46" customHeight="1">
      <c r="A46" s="1" t="s">
        <v>23</v>
      </c>
      <c r="B46" s="1" t="s">
        <v>55</v>
      </c>
      <c r="C46" s="1" t="s">
        <v>49</v>
      </c>
      <c r="D46" s="1" t="s">
        <v>25</v>
      </c>
      <c r="E46" s="4">
        <v>30526</v>
      </c>
      <c r="F46" s="4">
        <v>0</v>
      </c>
      <c r="G46" s="4">
        <v>0</v>
      </c>
      <c r="H46" s="4">
        <v>30526</v>
      </c>
      <c r="I46" s="4">
        <v>0</v>
      </c>
      <c r="J46" s="4">
        <v>0</v>
      </c>
      <c r="K46" s="1" t="s">
        <v>44</v>
      </c>
      <c r="L46" s="1" t="s">
        <v>27</v>
      </c>
      <c r="M46" s="1" t="s">
        <v>28</v>
      </c>
      <c r="N46" s="1" t="s">
        <v>29</v>
      </c>
      <c r="O46" s="1" t="s">
        <v>30</v>
      </c>
      <c r="P46" s="1" t="s">
        <v>31</v>
      </c>
    </row>
    <row r="47" spans="1:16" ht="46" customHeight="1">
      <c r="A47" s="1" t="s">
        <v>23</v>
      </c>
      <c r="B47" s="1" t="s">
        <v>56</v>
      </c>
      <c r="C47" s="1" t="s">
        <v>43</v>
      </c>
      <c r="D47" s="1" t="s">
        <v>25</v>
      </c>
      <c r="E47" s="4">
        <v>-892500</v>
      </c>
      <c r="F47" s="4">
        <v>0</v>
      </c>
      <c r="G47" s="4">
        <v>0</v>
      </c>
      <c r="H47" s="4">
        <v>-892500</v>
      </c>
      <c r="I47" s="4">
        <v>0</v>
      </c>
      <c r="J47" s="4">
        <v>0</v>
      </c>
      <c r="K47" s="1" t="s">
        <v>44</v>
      </c>
      <c r="L47" s="1" t="s">
        <v>27</v>
      </c>
      <c r="M47" s="1" t="s">
        <v>28</v>
      </c>
      <c r="N47" s="1" t="s">
        <v>29</v>
      </c>
      <c r="O47" s="1" t="s">
        <v>30</v>
      </c>
      <c r="P47" s="1" t="s">
        <v>31</v>
      </c>
    </row>
    <row r="48" spans="1:16" ht="46" customHeight="1">
      <c r="A48" s="1" t="s">
        <v>23</v>
      </c>
      <c r="B48" s="1" t="s">
        <v>56</v>
      </c>
      <c r="C48" s="1" t="s">
        <v>45</v>
      </c>
      <c r="D48" s="1" t="s">
        <v>25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1" t="s">
        <v>44</v>
      </c>
      <c r="L48" s="1" t="s">
        <v>27</v>
      </c>
      <c r="M48" s="1" t="s">
        <v>28</v>
      </c>
      <c r="N48" s="1" t="s">
        <v>29</v>
      </c>
      <c r="O48" s="1" t="s">
        <v>30</v>
      </c>
      <c r="P48" s="1" t="s">
        <v>31</v>
      </c>
    </row>
    <row r="49" spans="1:16" ht="46" customHeight="1">
      <c r="A49" s="1" t="s">
        <v>23</v>
      </c>
      <c r="B49" s="1" t="s">
        <v>56</v>
      </c>
      <c r="C49" s="1" t="s">
        <v>46</v>
      </c>
      <c r="D49" s="1" t="s">
        <v>25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1" t="s">
        <v>44</v>
      </c>
      <c r="L49" s="1" t="s">
        <v>27</v>
      </c>
      <c r="M49" s="1" t="s">
        <v>28</v>
      </c>
      <c r="N49" s="1" t="s">
        <v>29</v>
      </c>
      <c r="O49" s="1" t="s">
        <v>30</v>
      </c>
      <c r="P49" s="1" t="s">
        <v>31</v>
      </c>
    </row>
    <row r="50" spans="1:16" ht="46" customHeight="1">
      <c r="A50" s="1" t="s">
        <v>23</v>
      </c>
      <c r="B50" s="1" t="s">
        <v>56</v>
      </c>
      <c r="C50" s="1" t="s">
        <v>47</v>
      </c>
      <c r="D50" s="1" t="s">
        <v>25</v>
      </c>
      <c r="E50" s="4">
        <v>41656</v>
      </c>
      <c r="F50" s="4">
        <v>0</v>
      </c>
      <c r="G50" s="4">
        <v>0</v>
      </c>
      <c r="H50" s="4">
        <v>41656</v>
      </c>
      <c r="I50" s="4">
        <v>0</v>
      </c>
      <c r="J50" s="4">
        <v>0</v>
      </c>
      <c r="K50" s="1" t="s">
        <v>44</v>
      </c>
      <c r="L50" s="1" t="s">
        <v>27</v>
      </c>
      <c r="M50" s="1" t="s">
        <v>28</v>
      </c>
      <c r="N50" s="1" t="s">
        <v>29</v>
      </c>
      <c r="O50" s="1" t="s">
        <v>30</v>
      </c>
      <c r="P50" s="1" t="s">
        <v>31</v>
      </c>
    </row>
    <row r="51" spans="1:16" ht="46" customHeight="1">
      <c r="A51" s="1" t="s">
        <v>23</v>
      </c>
      <c r="B51" s="1" t="s">
        <v>56</v>
      </c>
      <c r="C51" s="1" t="s">
        <v>48</v>
      </c>
      <c r="D51" s="1" t="s">
        <v>25</v>
      </c>
      <c r="E51" s="4">
        <v>403822</v>
      </c>
      <c r="F51" s="4">
        <v>0</v>
      </c>
      <c r="G51" s="4">
        <v>0</v>
      </c>
      <c r="H51" s="4">
        <v>403822</v>
      </c>
      <c r="I51" s="4">
        <v>0</v>
      </c>
      <c r="J51" s="4">
        <v>0</v>
      </c>
      <c r="K51" s="1" t="s">
        <v>44</v>
      </c>
      <c r="L51" s="1" t="s">
        <v>27</v>
      </c>
      <c r="M51" s="1" t="s">
        <v>28</v>
      </c>
      <c r="N51" s="1" t="s">
        <v>29</v>
      </c>
      <c r="O51" s="1" t="s">
        <v>30</v>
      </c>
      <c r="P51" s="1" t="s">
        <v>31</v>
      </c>
    </row>
    <row r="52" spans="1:16" ht="46" customHeight="1">
      <c r="A52" s="1" t="s">
        <v>23</v>
      </c>
      <c r="B52" s="1" t="s">
        <v>56</v>
      </c>
      <c r="C52" s="1" t="s">
        <v>49</v>
      </c>
      <c r="D52" s="1" t="s">
        <v>25</v>
      </c>
      <c r="E52" s="4">
        <v>27404</v>
      </c>
      <c r="F52" s="4">
        <v>0</v>
      </c>
      <c r="G52" s="4">
        <v>0</v>
      </c>
      <c r="H52" s="4">
        <v>27404</v>
      </c>
      <c r="I52" s="4">
        <v>0</v>
      </c>
      <c r="J52" s="4">
        <v>0</v>
      </c>
      <c r="K52" s="1" t="s">
        <v>44</v>
      </c>
      <c r="L52" s="1" t="s">
        <v>27</v>
      </c>
      <c r="M52" s="1" t="s">
        <v>28</v>
      </c>
      <c r="N52" s="1" t="s">
        <v>29</v>
      </c>
      <c r="O52" s="1" t="s">
        <v>30</v>
      </c>
      <c r="P52" s="1" t="s">
        <v>31</v>
      </c>
    </row>
    <row r="53" spans="1:16" ht="46" customHeight="1">
      <c r="A53" s="1" t="s">
        <v>23</v>
      </c>
      <c r="B53" s="1" t="s">
        <v>57</v>
      </c>
      <c r="C53" s="1" t="s">
        <v>43</v>
      </c>
      <c r="D53" s="1" t="s">
        <v>25</v>
      </c>
      <c r="E53" s="4">
        <v>-903666.6666999999</v>
      </c>
      <c r="F53" s="4">
        <v>0</v>
      </c>
      <c r="G53" s="4">
        <v>0</v>
      </c>
      <c r="H53" s="4">
        <v>-903666.6666999999</v>
      </c>
      <c r="I53" s="4">
        <v>0</v>
      </c>
      <c r="J53" s="4">
        <v>0</v>
      </c>
      <c r="K53" s="1" t="s">
        <v>44</v>
      </c>
      <c r="L53" s="1" t="s">
        <v>27</v>
      </c>
      <c r="M53" s="1" t="s">
        <v>28</v>
      </c>
      <c r="N53" s="1" t="s">
        <v>29</v>
      </c>
      <c r="O53" s="1" t="s">
        <v>30</v>
      </c>
      <c r="P53" s="1" t="s">
        <v>31</v>
      </c>
    </row>
    <row r="54" spans="1:16" ht="46" customHeight="1">
      <c r="A54" s="1" t="s">
        <v>23</v>
      </c>
      <c r="B54" s="1" t="s">
        <v>57</v>
      </c>
      <c r="C54" s="1" t="s">
        <v>45</v>
      </c>
      <c r="D54" s="1" t="s">
        <v>25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1" t="s">
        <v>44</v>
      </c>
      <c r="L54" s="1" t="s">
        <v>27</v>
      </c>
      <c r="M54" s="1" t="s">
        <v>28</v>
      </c>
      <c r="N54" s="1" t="s">
        <v>29</v>
      </c>
      <c r="O54" s="1" t="s">
        <v>30</v>
      </c>
      <c r="P54" s="1" t="s">
        <v>31</v>
      </c>
    </row>
    <row r="55" spans="1:16" ht="46" customHeight="1">
      <c r="A55" s="1" t="s">
        <v>23</v>
      </c>
      <c r="B55" s="1" t="s">
        <v>57</v>
      </c>
      <c r="C55" s="1" t="s">
        <v>46</v>
      </c>
      <c r="D55" s="1" t="s">
        <v>25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1" t="s">
        <v>44</v>
      </c>
      <c r="L55" s="1" t="s">
        <v>27</v>
      </c>
      <c r="M55" s="1" t="s">
        <v>28</v>
      </c>
      <c r="N55" s="1" t="s">
        <v>29</v>
      </c>
      <c r="O55" s="1" t="s">
        <v>30</v>
      </c>
      <c r="P55" s="1" t="s">
        <v>31</v>
      </c>
    </row>
    <row r="56" spans="1:16" ht="46" customHeight="1">
      <c r="A56" s="1" t="s">
        <v>23</v>
      </c>
      <c r="B56" s="1" t="s">
        <v>57</v>
      </c>
      <c r="C56" s="1" t="s">
        <v>47</v>
      </c>
      <c r="D56" s="1" t="s">
        <v>25</v>
      </c>
      <c r="E56" s="4">
        <v>26332</v>
      </c>
      <c r="F56" s="4">
        <v>0</v>
      </c>
      <c r="G56" s="4">
        <v>0</v>
      </c>
      <c r="H56" s="4">
        <v>26332</v>
      </c>
      <c r="I56" s="4">
        <v>0</v>
      </c>
      <c r="J56" s="4">
        <v>0</v>
      </c>
      <c r="K56" s="1" t="s">
        <v>44</v>
      </c>
      <c r="L56" s="1" t="s">
        <v>27</v>
      </c>
      <c r="M56" s="1" t="s">
        <v>28</v>
      </c>
      <c r="N56" s="1" t="s">
        <v>29</v>
      </c>
      <c r="O56" s="1" t="s">
        <v>30</v>
      </c>
      <c r="P56" s="1" t="s">
        <v>31</v>
      </c>
    </row>
    <row r="57" spans="1:16" ht="46" customHeight="1">
      <c r="A57" s="1" t="s">
        <v>23</v>
      </c>
      <c r="B57" s="1" t="s">
        <v>57</v>
      </c>
      <c r="C57" s="1" t="s">
        <v>48</v>
      </c>
      <c r="D57" s="1" t="s">
        <v>25</v>
      </c>
      <c r="E57" s="4">
        <v>409421</v>
      </c>
      <c r="F57" s="4">
        <v>0</v>
      </c>
      <c r="G57" s="4">
        <v>0</v>
      </c>
      <c r="H57" s="4">
        <v>409421</v>
      </c>
      <c r="I57" s="4">
        <v>0</v>
      </c>
      <c r="J57" s="4">
        <v>0</v>
      </c>
      <c r="K57" s="1" t="s">
        <v>44</v>
      </c>
      <c r="L57" s="1" t="s">
        <v>27</v>
      </c>
      <c r="M57" s="1" t="s">
        <v>28</v>
      </c>
      <c r="N57" s="1" t="s">
        <v>29</v>
      </c>
      <c r="O57" s="1" t="s">
        <v>30</v>
      </c>
      <c r="P57" s="1" t="s">
        <v>31</v>
      </c>
    </row>
    <row r="58" spans="1:16" ht="46" customHeight="1">
      <c r="A58" s="1" t="s">
        <v>23</v>
      </c>
      <c r="B58" s="1" t="s">
        <v>57</v>
      </c>
      <c r="C58" s="1" t="s">
        <v>49</v>
      </c>
      <c r="D58" s="1" t="s">
        <v>25</v>
      </c>
      <c r="E58" s="4">
        <v>29084</v>
      </c>
      <c r="F58" s="4">
        <v>0</v>
      </c>
      <c r="G58" s="4">
        <v>0</v>
      </c>
      <c r="H58" s="4">
        <v>29084</v>
      </c>
      <c r="I58" s="4">
        <v>0</v>
      </c>
      <c r="J58" s="4">
        <v>0</v>
      </c>
      <c r="K58" s="1" t="s">
        <v>44</v>
      </c>
      <c r="L58" s="1" t="s">
        <v>27</v>
      </c>
      <c r="M58" s="1" t="s">
        <v>28</v>
      </c>
      <c r="N58" s="1" t="s">
        <v>29</v>
      </c>
      <c r="O58" s="1" t="s">
        <v>30</v>
      </c>
      <c r="P58" s="1" t="s">
        <v>31</v>
      </c>
    </row>
    <row r="59" spans="1:16" ht="46" customHeight="1">
      <c r="A59" s="1" t="s">
        <v>23</v>
      </c>
      <c r="B59" s="1" t="s">
        <v>58</v>
      </c>
      <c r="C59" s="1" t="s">
        <v>43</v>
      </c>
      <c r="D59" s="1" t="s">
        <v>25</v>
      </c>
      <c r="E59" s="4">
        <v>-914166.6666999999</v>
      </c>
      <c r="F59" s="4">
        <v>0</v>
      </c>
      <c r="G59" s="4">
        <v>0</v>
      </c>
      <c r="H59" s="4">
        <v>-914166.6666999999</v>
      </c>
      <c r="I59" s="4">
        <v>0</v>
      </c>
      <c r="J59" s="4">
        <v>0</v>
      </c>
      <c r="K59" s="1" t="s">
        <v>44</v>
      </c>
      <c r="L59" s="1" t="s">
        <v>27</v>
      </c>
      <c r="M59" s="1" t="s">
        <v>28</v>
      </c>
      <c r="N59" s="1" t="s">
        <v>29</v>
      </c>
      <c r="O59" s="1" t="s">
        <v>30</v>
      </c>
      <c r="P59" s="1" t="s">
        <v>31</v>
      </c>
    </row>
    <row r="60" spans="1:16" ht="46" customHeight="1">
      <c r="A60" s="1" t="s">
        <v>23</v>
      </c>
      <c r="B60" s="1" t="s">
        <v>58</v>
      </c>
      <c r="C60" s="1" t="s">
        <v>45</v>
      </c>
      <c r="D60" s="1" t="s">
        <v>25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1" t="s">
        <v>44</v>
      </c>
      <c r="L60" s="1" t="s">
        <v>27</v>
      </c>
      <c r="M60" s="1" t="s">
        <v>28</v>
      </c>
      <c r="N60" s="1" t="s">
        <v>29</v>
      </c>
      <c r="O60" s="1" t="s">
        <v>30</v>
      </c>
      <c r="P60" s="1" t="s">
        <v>31</v>
      </c>
    </row>
    <row r="61" spans="1:16" ht="46" customHeight="1">
      <c r="A61" s="1" t="s">
        <v>23</v>
      </c>
      <c r="B61" s="1" t="s">
        <v>58</v>
      </c>
      <c r="C61" s="1" t="s">
        <v>46</v>
      </c>
      <c r="D61" s="1" t="s">
        <v>25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1" t="s">
        <v>44</v>
      </c>
      <c r="L61" s="1" t="s">
        <v>27</v>
      </c>
      <c r="M61" s="1" t="s">
        <v>28</v>
      </c>
      <c r="N61" s="1" t="s">
        <v>29</v>
      </c>
      <c r="O61" s="1" t="s">
        <v>30</v>
      </c>
      <c r="P61" s="1" t="s">
        <v>31</v>
      </c>
    </row>
    <row r="62" spans="1:16" ht="46" customHeight="1">
      <c r="A62" s="1" t="s">
        <v>23</v>
      </c>
      <c r="B62" s="1" t="s">
        <v>58</v>
      </c>
      <c r="C62" s="1" t="s">
        <v>47</v>
      </c>
      <c r="D62" s="1" t="s">
        <v>25</v>
      </c>
      <c r="E62" s="4">
        <v>17007</v>
      </c>
      <c r="F62" s="4">
        <v>0</v>
      </c>
      <c r="G62" s="4">
        <v>0</v>
      </c>
      <c r="H62" s="4">
        <v>17007</v>
      </c>
      <c r="I62" s="4">
        <v>0</v>
      </c>
      <c r="J62" s="4">
        <v>0</v>
      </c>
      <c r="K62" s="1" t="s">
        <v>44</v>
      </c>
      <c r="L62" s="1" t="s">
        <v>27</v>
      </c>
      <c r="M62" s="1" t="s">
        <v>28</v>
      </c>
      <c r="N62" s="1" t="s">
        <v>29</v>
      </c>
      <c r="O62" s="1" t="s">
        <v>30</v>
      </c>
      <c r="P62" s="1" t="s">
        <v>31</v>
      </c>
    </row>
    <row r="63" spans="1:16" ht="46" customHeight="1">
      <c r="A63" s="1" t="s">
        <v>23</v>
      </c>
      <c r="B63" s="1" t="s">
        <v>58</v>
      </c>
      <c r="C63" s="1" t="s">
        <v>48</v>
      </c>
      <c r="D63" s="1" t="s">
        <v>25</v>
      </c>
      <c r="E63" s="4">
        <v>419472</v>
      </c>
      <c r="F63" s="4">
        <v>0</v>
      </c>
      <c r="G63" s="4">
        <v>0</v>
      </c>
      <c r="H63" s="4">
        <v>419472</v>
      </c>
      <c r="I63" s="4">
        <v>0</v>
      </c>
      <c r="J63" s="4">
        <v>0</v>
      </c>
      <c r="K63" s="1" t="s">
        <v>44</v>
      </c>
      <c r="L63" s="1" t="s">
        <v>27</v>
      </c>
      <c r="M63" s="1" t="s">
        <v>28</v>
      </c>
      <c r="N63" s="1" t="s">
        <v>29</v>
      </c>
      <c r="O63" s="1" t="s">
        <v>30</v>
      </c>
      <c r="P63" s="1" t="s">
        <v>31</v>
      </c>
    </row>
    <row r="64" spans="1:16" ht="46" customHeight="1">
      <c r="A64" s="1" t="s">
        <v>23</v>
      </c>
      <c r="B64" s="1" t="s">
        <v>58</v>
      </c>
      <c r="C64" s="1" t="s">
        <v>49</v>
      </c>
      <c r="D64" s="1" t="s">
        <v>25</v>
      </c>
      <c r="E64" s="4">
        <v>21422</v>
      </c>
      <c r="F64" s="4">
        <v>0</v>
      </c>
      <c r="G64" s="4">
        <v>0</v>
      </c>
      <c r="H64" s="4">
        <v>21422</v>
      </c>
      <c r="I64" s="4">
        <v>0</v>
      </c>
      <c r="J64" s="4">
        <v>0</v>
      </c>
      <c r="K64" s="1" t="s">
        <v>44</v>
      </c>
      <c r="L64" s="1" t="s">
        <v>27</v>
      </c>
      <c r="M64" s="1" t="s">
        <v>28</v>
      </c>
      <c r="N64" s="1" t="s">
        <v>29</v>
      </c>
      <c r="O64" s="1" t="s">
        <v>30</v>
      </c>
      <c r="P64" s="1" t="s">
        <v>31</v>
      </c>
    </row>
    <row r="65" spans="1:16" ht="46" customHeight="1">
      <c r="A65" s="1" t="s">
        <v>23</v>
      </c>
      <c r="B65" s="1" t="s">
        <v>59</v>
      </c>
      <c r="C65" s="1" t="s">
        <v>43</v>
      </c>
      <c r="D65" s="1" t="s">
        <v>25</v>
      </c>
      <c r="E65" s="4">
        <v>-935166.6666999999</v>
      </c>
      <c r="F65" s="4">
        <v>0</v>
      </c>
      <c r="G65" s="4">
        <v>0</v>
      </c>
      <c r="H65" s="4">
        <v>-935166.6666999999</v>
      </c>
      <c r="I65" s="4">
        <v>0</v>
      </c>
      <c r="J65" s="4">
        <v>0</v>
      </c>
      <c r="K65" s="1" t="s">
        <v>44</v>
      </c>
      <c r="L65" s="1" t="s">
        <v>27</v>
      </c>
      <c r="M65" s="1" t="s">
        <v>28</v>
      </c>
      <c r="N65" s="1" t="s">
        <v>29</v>
      </c>
      <c r="O65" s="1" t="s">
        <v>30</v>
      </c>
      <c r="P65" s="1" t="s">
        <v>31</v>
      </c>
    </row>
    <row r="66" spans="1:16" ht="46" customHeight="1">
      <c r="A66" s="1" t="s">
        <v>23</v>
      </c>
      <c r="B66" s="1" t="s">
        <v>59</v>
      </c>
      <c r="C66" s="1" t="s">
        <v>45</v>
      </c>
      <c r="D66" s="1" t="s">
        <v>25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1" t="s">
        <v>44</v>
      </c>
      <c r="L66" s="1" t="s">
        <v>27</v>
      </c>
      <c r="M66" s="1" t="s">
        <v>28</v>
      </c>
      <c r="N66" s="1" t="s">
        <v>29</v>
      </c>
      <c r="O66" s="1" t="s">
        <v>30</v>
      </c>
      <c r="P66" s="1" t="s">
        <v>31</v>
      </c>
    </row>
    <row r="67" spans="1:16" ht="46" customHeight="1">
      <c r="A67" s="1" t="s">
        <v>23</v>
      </c>
      <c r="B67" s="1" t="s">
        <v>59</v>
      </c>
      <c r="C67" s="1" t="s">
        <v>46</v>
      </c>
      <c r="D67" s="1" t="s">
        <v>25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1" t="s">
        <v>44</v>
      </c>
      <c r="L67" s="1" t="s">
        <v>27</v>
      </c>
      <c r="M67" s="1" t="s">
        <v>28</v>
      </c>
      <c r="N67" s="1" t="s">
        <v>29</v>
      </c>
      <c r="O67" s="1" t="s">
        <v>30</v>
      </c>
      <c r="P67" s="1" t="s">
        <v>31</v>
      </c>
    </row>
    <row r="68" spans="1:16" ht="46" customHeight="1">
      <c r="A68" s="1" t="s">
        <v>23</v>
      </c>
      <c r="B68" s="1" t="s">
        <v>59</v>
      </c>
      <c r="C68" s="1" t="s">
        <v>47</v>
      </c>
      <c r="D68" s="1" t="s">
        <v>25</v>
      </c>
      <c r="E68" s="4">
        <v>1469</v>
      </c>
      <c r="F68" s="4">
        <v>0</v>
      </c>
      <c r="G68" s="4">
        <v>0</v>
      </c>
      <c r="H68" s="4">
        <v>1469</v>
      </c>
      <c r="I68" s="4">
        <v>0</v>
      </c>
      <c r="J68" s="4">
        <v>0</v>
      </c>
      <c r="K68" s="1" t="s">
        <v>44</v>
      </c>
      <c r="L68" s="1" t="s">
        <v>27</v>
      </c>
      <c r="M68" s="1" t="s">
        <v>28</v>
      </c>
      <c r="N68" s="1" t="s">
        <v>29</v>
      </c>
      <c r="O68" s="1" t="s">
        <v>30</v>
      </c>
      <c r="P68" s="1" t="s">
        <v>31</v>
      </c>
    </row>
    <row r="69" spans="1:16" ht="46" customHeight="1">
      <c r="A69" s="1" t="s">
        <v>23</v>
      </c>
      <c r="B69" s="1" t="s">
        <v>59</v>
      </c>
      <c r="C69" s="1" t="s">
        <v>48</v>
      </c>
      <c r="D69" s="1" t="s">
        <v>25</v>
      </c>
      <c r="E69" s="4">
        <v>260502</v>
      </c>
      <c r="F69" s="4">
        <v>0</v>
      </c>
      <c r="G69" s="4">
        <v>0</v>
      </c>
      <c r="H69" s="4">
        <v>260502</v>
      </c>
      <c r="I69" s="4">
        <v>0</v>
      </c>
      <c r="J69" s="4">
        <v>0</v>
      </c>
      <c r="K69" s="1" t="s">
        <v>44</v>
      </c>
      <c r="L69" s="1" t="s">
        <v>27</v>
      </c>
      <c r="M69" s="1" t="s">
        <v>28</v>
      </c>
      <c r="N69" s="1" t="s">
        <v>29</v>
      </c>
      <c r="O69" s="1" t="s">
        <v>30</v>
      </c>
      <c r="P69" s="1" t="s">
        <v>31</v>
      </c>
    </row>
    <row r="70" spans="1:16" ht="46" customHeight="1">
      <c r="A70" s="1" t="s">
        <v>23</v>
      </c>
      <c r="B70" s="1" t="s">
        <v>59</v>
      </c>
      <c r="C70" s="1" t="s">
        <v>49</v>
      </c>
      <c r="D70" s="1" t="s">
        <v>25</v>
      </c>
      <c r="E70" s="4">
        <v>-114326</v>
      </c>
      <c r="F70" s="4">
        <v>0</v>
      </c>
      <c r="G70" s="4">
        <v>0</v>
      </c>
      <c r="H70" s="4">
        <v>-114326</v>
      </c>
      <c r="I70" s="4">
        <v>0</v>
      </c>
      <c r="J70" s="4">
        <v>0</v>
      </c>
      <c r="K70" s="1" t="s">
        <v>44</v>
      </c>
      <c r="L70" s="1" t="s">
        <v>27</v>
      </c>
      <c r="M70" s="1" t="s">
        <v>28</v>
      </c>
      <c r="N70" s="1" t="s">
        <v>29</v>
      </c>
      <c r="O70" s="1" t="s">
        <v>30</v>
      </c>
      <c r="P70" s="1" t="s">
        <v>31</v>
      </c>
    </row>
    <row r="71" spans="1:16" ht="46" customHeight="1">
      <c r="A71" s="1" t="s">
        <v>23</v>
      </c>
      <c r="B71" s="1" t="s">
        <v>60</v>
      </c>
      <c r="C71" s="1" t="s">
        <v>43</v>
      </c>
      <c r="D71" s="1" t="s">
        <v>25</v>
      </c>
      <c r="E71" s="4">
        <v>-956166.6666999999</v>
      </c>
      <c r="F71" s="4">
        <v>0</v>
      </c>
      <c r="G71" s="4">
        <v>0</v>
      </c>
      <c r="H71" s="4">
        <v>-956166.6666999999</v>
      </c>
      <c r="I71" s="4">
        <v>0</v>
      </c>
      <c r="J71" s="4">
        <v>0</v>
      </c>
      <c r="K71" s="1" t="s">
        <v>44</v>
      </c>
      <c r="L71" s="1" t="s">
        <v>27</v>
      </c>
      <c r="M71" s="1" t="s">
        <v>28</v>
      </c>
      <c r="N71" s="1" t="s">
        <v>29</v>
      </c>
      <c r="O71" s="1" t="s">
        <v>30</v>
      </c>
      <c r="P71" s="1" t="s">
        <v>31</v>
      </c>
    </row>
    <row r="72" spans="1:16" ht="46" customHeight="1">
      <c r="A72" s="1" t="s">
        <v>23</v>
      </c>
      <c r="B72" s="1" t="s">
        <v>60</v>
      </c>
      <c r="C72" s="1" t="s">
        <v>45</v>
      </c>
      <c r="D72" s="1" t="s">
        <v>25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1" t="s">
        <v>44</v>
      </c>
      <c r="L72" s="1" t="s">
        <v>27</v>
      </c>
      <c r="M72" s="1" t="s">
        <v>28</v>
      </c>
      <c r="N72" s="1" t="s">
        <v>29</v>
      </c>
      <c r="O72" s="1" t="s">
        <v>30</v>
      </c>
      <c r="P72" s="1" t="s">
        <v>31</v>
      </c>
    </row>
    <row r="73" spans="1:16" ht="46" customHeight="1">
      <c r="A73" s="1" t="s">
        <v>23</v>
      </c>
      <c r="B73" s="1" t="s">
        <v>60</v>
      </c>
      <c r="C73" s="1" t="s">
        <v>46</v>
      </c>
      <c r="D73" s="1" t="s">
        <v>25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1" t="s">
        <v>44</v>
      </c>
      <c r="L73" s="1" t="s">
        <v>27</v>
      </c>
      <c r="M73" s="1" t="s">
        <v>28</v>
      </c>
      <c r="N73" s="1" t="s">
        <v>29</v>
      </c>
      <c r="O73" s="1" t="s">
        <v>30</v>
      </c>
      <c r="P73" s="1" t="s">
        <v>31</v>
      </c>
    </row>
    <row r="74" spans="1:16" ht="46" customHeight="1">
      <c r="A74" s="1" t="s">
        <v>23</v>
      </c>
      <c r="B74" s="1" t="s">
        <v>60</v>
      </c>
      <c r="C74" s="1" t="s">
        <v>47</v>
      </c>
      <c r="D74" s="1" t="s">
        <v>25</v>
      </c>
      <c r="E74" s="4">
        <v>-9631</v>
      </c>
      <c r="F74" s="4">
        <v>0</v>
      </c>
      <c r="G74" s="4">
        <v>0</v>
      </c>
      <c r="H74" s="4">
        <v>-9631</v>
      </c>
      <c r="I74" s="4">
        <v>0</v>
      </c>
      <c r="J74" s="4">
        <v>0</v>
      </c>
      <c r="K74" s="1" t="s">
        <v>44</v>
      </c>
      <c r="L74" s="1" t="s">
        <v>27</v>
      </c>
      <c r="M74" s="1" t="s">
        <v>28</v>
      </c>
      <c r="N74" s="1" t="s">
        <v>29</v>
      </c>
      <c r="O74" s="1" t="s">
        <v>30</v>
      </c>
      <c r="P74" s="1" t="s">
        <v>31</v>
      </c>
    </row>
    <row r="75" spans="1:16" ht="46" customHeight="1">
      <c r="A75" s="1" t="s">
        <v>23</v>
      </c>
      <c r="B75" s="1" t="s">
        <v>60</v>
      </c>
      <c r="C75" s="1" t="s">
        <v>48</v>
      </c>
      <c r="D75" s="1" t="s">
        <v>25</v>
      </c>
      <c r="E75" s="4">
        <v>254764</v>
      </c>
      <c r="F75" s="4">
        <v>0</v>
      </c>
      <c r="G75" s="4">
        <v>0</v>
      </c>
      <c r="H75" s="4">
        <v>254764</v>
      </c>
      <c r="I75" s="4">
        <v>0</v>
      </c>
      <c r="J75" s="4">
        <v>0</v>
      </c>
      <c r="K75" s="1" t="s">
        <v>44</v>
      </c>
      <c r="L75" s="1" t="s">
        <v>27</v>
      </c>
      <c r="M75" s="1" t="s">
        <v>28</v>
      </c>
      <c r="N75" s="1" t="s">
        <v>29</v>
      </c>
      <c r="O75" s="1" t="s">
        <v>30</v>
      </c>
      <c r="P75" s="1" t="s">
        <v>31</v>
      </c>
    </row>
    <row r="76" spans="1:16" ht="46" customHeight="1">
      <c r="A76" s="1" t="s">
        <v>23</v>
      </c>
      <c r="B76" s="1" t="s">
        <v>60</v>
      </c>
      <c r="C76" s="1" t="s">
        <v>49</v>
      </c>
      <c r="D76" s="1" t="s">
        <v>25</v>
      </c>
      <c r="E76" s="4">
        <v>-121931</v>
      </c>
      <c r="F76" s="4">
        <v>0</v>
      </c>
      <c r="G76" s="4">
        <v>0</v>
      </c>
      <c r="H76" s="4">
        <v>-121931</v>
      </c>
      <c r="I76" s="4">
        <v>0</v>
      </c>
      <c r="J76" s="4">
        <v>0</v>
      </c>
      <c r="K76" s="1" t="s">
        <v>44</v>
      </c>
      <c r="L76" s="1" t="s">
        <v>27</v>
      </c>
      <c r="M76" s="1" t="s">
        <v>28</v>
      </c>
      <c r="N76" s="1" t="s">
        <v>29</v>
      </c>
      <c r="O76" s="1" t="s">
        <v>30</v>
      </c>
      <c r="P76" s="1" t="s">
        <v>31</v>
      </c>
    </row>
  </sheetData>
  <autoFilter ref="A4:P76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2.7109375" style="1" customWidth="1"/>
    <col min="2" max="2" width="60.7109375" style="1" customWidth="1"/>
    <col min="3" max="7" width="22.7109375" style="1" customWidth="1"/>
  </cols>
  <sheetData>
    <row r="1" spans="1:2" ht="32" customHeight="1">
      <c r="A1" s="2" t="s">
        <v>63</v>
      </c>
      <c r="B1" s="2"/>
    </row>
    <row r="2" spans="1:2" ht="30" customHeight="1">
      <c r="A2" s="1" t="s">
        <v>1</v>
      </c>
      <c r="B2" s="1"/>
    </row>
    <row r="4" spans="1:2" ht="42" customHeight="1">
      <c r="A4" s="3" t="s">
        <v>64</v>
      </c>
      <c r="B4" s="3" t="s">
        <v>65</v>
      </c>
    </row>
    <row r="5" spans="1:2" ht="46" customHeight="1">
      <c r="A5" s="4">
        <v>13350000</v>
      </c>
      <c r="B5" s="1" t="s">
        <v>66</v>
      </c>
    </row>
    <row r="6" spans="1:2" ht="46" customHeight="1">
      <c r="A6" s="4">
        <v>22700000</v>
      </c>
      <c r="B6" s="1" t="s">
        <v>67</v>
      </c>
    </row>
    <row r="7" spans="1:2" ht="46" customHeight="1">
      <c r="A7" s="4">
        <v>42000000</v>
      </c>
      <c r="B7" s="1" t="s">
        <v>68</v>
      </c>
    </row>
    <row r="8" spans="1:2" ht="46" customHeight="1">
      <c r="A8" s="4">
        <v>19300000</v>
      </c>
      <c r="B8" s="1" t="s">
        <v>69</v>
      </c>
    </row>
    <row r="9" spans="1:2" ht="46" customHeight="1">
      <c r="A9" s="4">
        <v>33237500</v>
      </c>
      <c r="B9" s="1" t="s">
        <v>70</v>
      </c>
    </row>
    <row r="10" spans="1:2" ht="46" customHeight="1">
      <c r="A10" s="4">
        <v>48000000</v>
      </c>
      <c r="B10" s="1" t="s">
        <v>71</v>
      </c>
    </row>
    <row r="11" spans="1:2" ht="46" customHeight="1">
      <c r="A11" s="4">
        <v>14762500</v>
      </c>
      <c r="B11" s="1" t="s">
        <v>72</v>
      </c>
    </row>
    <row r="12" spans="1:2" ht="46" customHeight="1">
      <c r="A12" s="4">
        <v>13000000</v>
      </c>
      <c r="B12" s="1" t="s">
        <v>73</v>
      </c>
    </row>
    <row r="13" spans="1:2" ht="46" customHeight="1">
      <c r="A13" s="4">
        <v>1762500</v>
      </c>
      <c r="B13" s="1" t="s">
        <v>74</v>
      </c>
    </row>
    <row r="14" spans="1:2" ht="46" customHeight="1">
      <c r="A14" s="4">
        <v>61500000</v>
      </c>
      <c r="B14" s="1" t="s">
        <v>75</v>
      </c>
    </row>
    <row r="15" spans="1:2" ht="46" customHeight="1">
      <c r="A15" s="4">
        <v>61500000</v>
      </c>
      <c r="B15" s="1" t="s">
        <v>76</v>
      </c>
    </row>
    <row r="16" spans="1:2" ht="46" customHeight="1">
      <c r="A16" s="4">
        <v>587500</v>
      </c>
      <c r="B16" s="1" t="s">
        <v>77</v>
      </c>
    </row>
    <row r="17" spans="1:2" ht="46" customHeight="1">
      <c r="A17" s="4">
        <v>2350000</v>
      </c>
      <c r="B17" s="1" t="s">
        <v>78</v>
      </c>
    </row>
    <row r="18" spans="1:2" ht="46" customHeight="1">
      <c r="A18" s="4">
        <v>9000000</v>
      </c>
      <c r="B18" s="1" t="s">
        <v>79</v>
      </c>
    </row>
    <row r="19" spans="1:2" ht="46" customHeight="1">
      <c r="A19" s="4">
        <v>39000000</v>
      </c>
      <c r="B19" s="1" t="s">
        <v>80</v>
      </c>
    </row>
    <row r="20" spans="1:2" ht="46" customHeight="1">
      <c r="A20" s="4">
        <v>40200000</v>
      </c>
      <c r="B20" s="1" t="s">
        <v>81</v>
      </c>
    </row>
    <row r="21" spans="1:2" ht="46" customHeight="1">
      <c r="A21" s="4">
        <v>4500000</v>
      </c>
      <c r="B21" s="1" t="s">
        <v>82</v>
      </c>
    </row>
    <row r="22" spans="1:2" ht="46" customHeight="1">
      <c r="A22" s="4">
        <v>0</v>
      </c>
      <c r="B22" s="1" t="s">
        <v>83</v>
      </c>
    </row>
  </sheetData>
  <autoFilter ref="A4:B22"/>
  <mergeCells count="2">
    <mergeCell ref="A1:B1"/>
    <mergeCell ref="A2:B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8" width="22.7109375" style="1" customWidth="1"/>
  </cols>
  <sheetData>
    <row r="1" spans="1:8" ht="32" customHeight="1">
      <c r="A1" s="2" t="s">
        <v>86</v>
      </c>
      <c r="B1" s="2"/>
      <c r="C1" s="2"/>
      <c r="D1" s="2"/>
      <c r="E1" s="2"/>
      <c r="F1" s="2"/>
      <c r="G1" s="2"/>
    </row>
    <row r="2" spans="1:8" ht="30" customHeight="1">
      <c r="A2" s="1" t="s">
        <v>1</v>
      </c>
      <c r="B2" s="1"/>
      <c r="C2" s="1"/>
      <c r="D2" s="1"/>
      <c r="E2" s="1"/>
      <c r="F2" s="1"/>
      <c r="G2" s="1"/>
    </row>
    <row r="4" spans="1:8" ht="42" customHeight="1">
      <c r="A4" s="3" t="s">
        <v>8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  <c r="H4" s="3" t="s">
        <v>93</v>
      </c>
    </row>
    <row r="5" spans="1:8" ht="46" customHeight="1">
      <c r="A5" s="1" t="s">
        <v>24</v>
      </c>
      <c r="B5" s="4">
        <v>275000</v>
      </c>
      <c r="C5" s="4">
        <v>0</v>
      </c>
      <c r="D5" s="4">
        <v>0</v>
      </c>
      <c r="E5" s="4">
        <v>178083</v>
      </c>
      <c r="F5" s="4">
        <v>0</v>
      </c>
      <c r="G5" s="4">
        <v>42275000</v>
      </c>
      <c r="H5" s="4">
        <v>143836</v>
      </c>
    </row>
    <row r="6" spans="1:8" ht="46" customHeight="1">
      <c r="A6" s="1" t="s">
        <v>50</v>
      </c>
      <c r="B6" s="4">
        <v>275000</v>
      </c>
      <c r="C6" s="4">
        <v>1100000</v>
      </c>
      <c r="D6" s="4">
        <v>1050000</v>
      </c>
      <c r="E6" s="4">
        <v>199452</v>
      </c>
      <c r="F6" s="4">
        <v>2292</v>
      </c>
      <c r="G6" s="4">
        <v>44700000</v>
      </c>
      <c r="H6" s="4">
        <v>307224</v>
      </c>
    </row>
    <row r="7" spans="1:8" ht="46" customHeight="1">
      <c r="A7" s="1" t="s">
        <v>51</v>
      </c>
      <c r="B7" s="4">
        <v>275000</v>
      </c>
      <c r="C7" s="4">
        <v>1100000</v>
      </c>
      <c r="D7" s="4">
        <v>1050000</v>
      </c>
      <c r="E7" s="4">
        <v>220822</v>
      </c>
      <c r="F7" s="4">
        <v>10694</v>
      </c>
      <c r="G7" s="4">
        <v>47125000</v>
      </c>
      <c r="H7" s="4">
        <v>496274</v>
      </c>
    </row>
    <row r="8" spans="1:8" ht="46" customHeight="1">
      <c r="A8" s="1" t="s">
        <v>52</v>
      </c>
      <c r="B8" s="4">
        <v>275000</v>
      </c>
      <c r="C8" s="4">
        <v>1100000</v>
      </c>
      <c r="D8" s="4">
        <v>1050000</v>
      </c>
      <c r="E8" s="4">
        <v>213699</v>
      </c>
      <c r="F8" s="4">
        <v>19097</v>
      </c>
      <c r="G8" s="4">
        <v>49550000</v>
      </c>
      <c r="H8" s="4">
        <v>687974</v>
      </c>
    </row>
    <row r="9" spans="1:8" ht="46" customHeight="1">
      <c r="A9" s="1" t="s">
        <v>53</v>
      </c>
      <c r="B9" s="4">
        <v>275000</v>
      </c>
      <c r="C9" s="4">
        <v>1100000</v>
      </c>
      <c r="D9" s="4">
        <v>1050000</v>
      </c>
      <c r="E9" s="4">
        <v>220822</v>
      </c>
      <c r="F9" s="4">
        <v>27500</v>
      </c>
      <c r="G9" s="4">
        <v>51975000</v>
      </c>
      <c r="H9" s="4">
        <v>893830</v>
      </c>
    </row>
    <row r="10" spans="1:8" ht="46" customHeight="1">
      <c r="A10" s="1" t="s">
        <v>54</v>
      </c>
      <c r="B10" s="4">
        <v>275000</v>
      </c>
      <c r="C10" s="4">
        <v>1100000</v>
      </c>
      <c r="D10" s="4">
        <v>1050000</v>
      </c>
      <c r="E10" s="4">
        <v>213699</v>
      </c>
      <c r="F10" s="4">
        <v>35903</v>
      </c>
      <c r="G10" s="4">
        <v>54400000</v>
      </c>
      <c r="H10" s="4">
        <v>1102336</v>
      </c>
    </row>
    <row r="11" spans="1:8" ht="46" customHeight="1">
      <c r="A11" s="1" t="s">
        <v>55</v>
      </c>
      <c r="B11" s="4">
        <v>275000</v>
      </c>
      <c r="C11" s="4">
        <v>1100000</v>
      </c>
      <c r="D11" s="4">
        <v>0</v>
      </c>
      <c r="E11" s="4">
        <v>220822</v>
      </c>
      <c r="F11" s="4">
        <v>66181</v>
      </c>
      <c r="G11" s="4">
        <v>55775000</v>
      </c>
      <c r="H11" s="4">
        <v>1346873</v>
      </c>
    </row>
    <row r="12" spans="1:8" ht="46" customHeight="1">
      <c r="A12" s="1" t="s">
        <v>56</v>
      </c>
      <c r="B12" s="4">
        <v>275000</v>
      </c>
      <c r="C12" s="4">
        <v>1100000</v>
      </c>
      <c r="D12" s="4">
        <v>0</v>
      </c>
      <c r="E12" s="4">
        <v>220822</v>
      </c>
      <c r="F12" s="4">
        <v>74583</v>
      </c>
      <c r="G12" s="4">
        <v>57150000</v>
      </c>
      <c r="H12" s="4">
        <v>1599812</v>
      </c>
    </row>
    <row r="13" spans="1:8" ht="46" customHeight="1">
      <c r="A13" s="1" t="s">
        <v>57</v>
      </c>
      <c r="B13" s="4">
        <v>275000</v>
      </c>
      <c r="C13" s="4">
        <v>1100000</v>
      </c>
      <c r="D13" s="4">
        <v>0</v>
      </c>
      <c r="E13" s="4">
        <v>213699</v>
      </c>
      <c r="F13" s="4">
        <v>82986</v>
      </c>
      <c r="G13" s="4">
        <v>58525000</v>
      </c>
      <c r="H13" s="4">
        <v>1855401</v>
      </c>
    </row>
    <row r="14" spans="1:8" ht="46" customHeight="1">
      <c r="A14" s="1" t="s">
        <v>58</v>
      </c>
      <c r="B14" s="4">
        <v>275000</v>
      </c>
      <c r="C14" s="4">
        <v>1100000</v>
      </c>
      <c r="D14" s="4">
        <v>0</v>
      </c>
      <c r="E14" s="4">
        <v>220822</v>
      </c>
      <c r="F14" s="4">
        <v>91389</v>
      </c>
      <c r="G14" s="4">
        <v>59900000</v>
      </c>
      <c r="H14" s="4">
        <v>2125146</v>
      </c>
    </row>
    <row r="15" spans="1:8" ht="46" customHeight="1">
      <c r="A15" s="1" t="s">
        <v>59</v>
      </c>
      <c r="B15" s="4">
        <v>275000</v>
      </c>
      <c r="C15" s="4">
        <v>1100000</v>
      </c>
      <c r="D15" s="4">
        <v>0</v>
      </c>
      <c r="E15" s="4">
        <v>213699</v>
      </c>
      <c r="F15" s="4">
        <v>99792</v>
      </c>
      <c r="G15" s="4">
        <v>61275000</v>
      </c>
      <c r="H15" s="4">
        <v>2397541</v>
      </c>
    </row>
    <row r="16" spans="1:8" ht="46" customHeight="1">
      <c r="A16" s="1" t="s">
        <v>60</v>
      </c>
      <c r="B16" s="4">
        <v>275000</v>
      </c>
      <c r="C16" s="4">
        <v>0</v>
      </c>
      <c r="D16" s="4">
        <v>0</v>
      </c>
      <c r="E16" s="4">
        <v>220822</v>
      </c>
      <c r="F16" s="4">
        <v>108194</v>
      </c>
      <c r="G16" s="4">
        <v>61550000</v>
      </c>
      <c r="H16" s="4">
        <v>2684091</v>
      </c>
    </row>
  </sheetData>
  <autoFilter ref="A4:H16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1" width="22.7109375" style="1" customWidth="1"/>
  </cols>
  <sheetData>
    <row r="1" spans="1:11" ht="32" customHeight="1">
      <c r="A1" s="2" t="s">
        <v>96</v>
      </c>
      <c r="B1" s="2"/>
      <c r="C1" s="2"/>
      <c r="D1" s="2"/>
      <c r="E1" s="2"/>
      <c r="F1" s="2"/>
      <c r="G1" s="2"/>
    </row>
    <row r="2" spans="1:11" ht="30" customHeight="1">
      <c r="A2" s="1" t="s">
        <v>1</v>
      </c>
      <c r="B2" s="1"/>
      <c r="C2" s="1"/>
      <c r="D2" s="1"/>
      <c r="E2" s="1"/>
      <c r="F2" s="1"/>
      <c r="G2" s="1"/>
    </row>
    <row r="4" spans="1:11" ht="42" customHeight="1">
      <c r="A4" s="3" t="s">
        <v>8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104</v>
      </c>
      <c r="J4" s="3" t="s">
        <v>105</v>
      </c>
      <c r="K4" s="3" t="s">
        <v>106</v>
      </c>
    </row>
    <row r="5" spans="1:11" ht="46" customHeight="1">
      <c r="A5" s="1" t="s">
        <v>24</v>
      </c>
      <c r="B5" s="4">
        <v>22500000</v>
      </c>
      <c r="C5" s="4">
        <v>0</v>
      </c>
      <c r="D5" s="4">
        <v>104024</v>
      </c>
      <c r="E5" s="4">
        <v>22500000</v>
      </c>
      <c r="F5" s="4">
        <v>34246</v>
      </c>
      <c r="G5" s="4">
        <v>8503</v>
      </c>
      <c r="H5" s="4">
        <v>2465754</v>
      </c>
      <c r="I5" s="4">
        <v>4032</v>
      </c>
      <c r="J5" s="4">
        <v>295968</v>
      </c>
      <c r="K5" s="4">
        <v>0</v>
      </c>
    </row>
    <row r="6" spans="1:11" ht="46" customHeight="1">
      <c r="A6" s="1" t="s">
        <v>50</v>
      </c>
      <c r="B6" s="4">
        <v>22500000</v>
      </c>
      <c r="C6" s="4">
        <v>0</v>
      </c>
      <c r="D6" s="4">
        <v>116507</v>
      </c>
      <c r="E6" s="4">
        <v>22500000</v>
      </c>
      <c r="F6" s="4">
        <v>38356</v>
      </c>
      <c r="G6" s="4">
        <v>9384</v>
      </c>
      <c r="H6" s="4">
        <v>2427398</v>
      </c>
      <c r="I6" s="4">
        <v>5000</v>
      </c>
      <c r="J6" s="4">
        <v>290968</v>
      </c>
      <c r="K6" s="4">
        <v>0</v>
      </c>
    </row>
    <row r="7" spans="1:11" ht="46" customHeight="1">
      <c r="A7" s="1" t="s">
        <v>51</v>
      </c>
      <c r="B7" s="4">
        <v>22500000</v>
      </c>
      <c r="C7" s="4">
        <v>0</v>
      </c>
      <c r="D7" s="4">
        <v>128990</v>
      </c>
      <c r="E7" s="4">
        <v>22500000</v>
      </c>
      <c r="F7" s="4">
        <v>42466</v>
      </c>
      <c r="G7" s="4">
        <v>10218</v>
      </c>
      <c r="H7" s="4">
        <v>2384932</v>
      </c>
      <c r="I7" s="4">
        <v>5000</v>
      </c>
      <c r="J7" s="4">
        <v>285968</v>
      </c>
      <c r="K7" s="4">
        <v>0</v>
      </c>
    </row>
    <row r="8" spans="1:11" ht="46" customHeight="1">
      <c r="A8" s="1" t="s">
        <v>52</v>
      </c>
      <c r="B8" s="4">
        <v>22500000</v>
      </c>
      <c r="C8" s="4">
        <v>375000</v>
      </c>
      <c r="D8" s="4">
        <v>123164</v>
      </c>
      <c r="E8" s="4">
        <v>22125000</v>
      </c>
      <c r="F8" s="4">
        <v>41096</v>
      </c>
      <c r="G8" s="4">
        <v>9717</v>
      </c>
      <c r="H8" s="4">
        <v>2343836</v>
      </c>
      <c r="I8" s="4">
        <v>5000</v>
      </c>
      <c r="J8" s="4">
        <v>280968</v>
      </c>
      <c r="K8" s="4">
        <v>0</v>
      </c>
    </row>
    <row r="9" spans="1:11" ht="46" customHeight="1">
      <c r="A9" s="1" t="s">
        <v>53</v>
      </c>
      <c r="B9" s="4">
        <v>22125000</v>
      </c>
      <c r="C9" s="4">
        <v>0</v>
      </c>
      <c r="D9" s="4">
        <v>126840</v>
      </c>
      <c r="E9" s="4">
        <v>22125000</v>
      </c>
      <c r="F9" s="4">
        <v>42466</v>
      </c>
      <c r="G9" s="4">
        <v>9863</v>
      </c>
      <c r="H9" s="4">
        <v>2301370</v>
      </c>
      <c r="I9" s="4">
        <v>5000</v>
      </c>
      <c r="J9" s="4">
        <v>275968</v>
      </c>
      <c r="K9" s="4">
        <v>0</v>
      </c>
    </row>
    <row r="10" spans="1:11" ht="46" customHeight="1">
      <c r="A10" s="1" t="s">
        <v>54</v>
      </c>
      <c r="B10" s="4">
        <v>22125000</v>
      </c>
      <c r="C10" s="4">
        <v>0</v>
      </c>
      <c r="D10" s="4">
        <v>122748</v>
      </c>
      <c r="E10" s="4">
        <v>22125000</v>
      </c>
      <c r="F10" s="4">
        <v>41096</v>
      </c>
      <c r="G10" s="4">
        <v>9373</v>
      </c>
      <c r="H10" s="4">
        <v>2260274</v>
      </c>
      <c r="I10" s="4">
        <v>5000</v>
      </c>
      <c r="J10" s="4">
        <v>270968</v>
      </c>
      <c r="K10" s="4">
        <v>0</v>
      </c>
    </row>
    <row r="11" spans="1:11" ht="46" customHeight="1">
      <c r="A11" s="1" t="s">
        <v>55</v>
      </c>
      <c r="B11" s="4">
        <v>22125000</v>
      </c>
      <c r="C11" s="4">
        <v>375000</v>
      </c>
      <c r="D11" s="4">
        <v>125106</v>
      </c>
      <c r="E11" s="4">
        <v>21750000</v>
      </c>
      <c r="F11" s="4">
        <v>42466</v>
      </c>
      <c r="G11" s="4">
        <v>9508</v>
      </c>
      <c r="H11" s="4">
        <v>2217808</v>
      </c>
      <c r="I11" s="4">
        <v>5000</v>
      </c>
      <c r="J11" s="4">
        <v>265968</v>
      </c>
      <c r="K11" s="4">
        <v>0</v>
      </c>
    </row>
    <row r="12" spans="1:11" ht="46" customHeight="1">
      <c r="A12" s="1" t="s">
        <v>56</v>
      </c>
      <c r="B12" s="4">
        <v>21750000</v>
      </c>
      <c r="C12" s="4">
        <v>0</v>
      </c>
      <c r="D12" s="4">
        <v>124690</v>
      </c>
      <c r="E12" s="4">
        <v>21750000</v>
      </c>
      <c r="F12" s="4">
        <v>42466</v>
      </c>
      <c r="G12" s="4">
        <v>9328</v>
      </c>
      <c r="H12" s="4">
        <v>2175342</v>
      </c>
      <c r="I12" s="4">
        <v>5000</v>
      </c>
      <c r="J12" s="4">
        <v>260968</v>
      </c>
      <c r="K12" s="4">
        <v>0</v>
      </c>
    </row>
    <row r="13" spans="1:11" ht="46" customHeight="1">
      <c r="A13" s="1" t="s">
        <v>57</v>
      </c>
      <c r="B13" s="4">
        <v>21750000</v>
      </c>
      <c r="C13" s="4">
        <v>0</v>
      </c>
      <c r="D13" s="4">
        <v>120668</v>
      </c>
      <c r="E13" s="4">
        <v>21750000</v>
      </c>
      <c r="F13" s="4">
        <v>41096</v>
      </c>
      <c r="G13" s="4">
        <v>8855</v>
      </c>
      <c r="H13" s="4">
        <v>2134246</v>
      </c>
      <c r="I13" s="4">
        <v>5000</v>
      </c>
      <c r="J13" s="4">
        <v>255968</v>
      </c>
      <c r="K13" s="4">
        <v>0</v>
      </c>
    </row>
    <row r="14" spans="1:11" ht="46" customHeight="1">
      <c r="A14" s="1" t="s">
        <v>58</v>
      </c>
      <c r="B14" s="4">
        <v>21750000</v>
      </c>
      <c r="C14" s="4">
        <v>375000</v>
      </c>
      <c r="D14" s="4">
        <v>122956</v>
      </c>
      <c r="E14" s="4">
        <v>21375000</v>
      </c>
      <c r="F14" s="4">
        <v>42466</v>
      </c>
      <c r="G14" s="4">
        <v>8973</v>
      </c>
      <c r="H14" s="4">
        <v>2091780</v>
      </c>
      <c r="I14" s="4">
        <v>5000</v>
      </c>
      <c r="J14" s="4">
        <v>250968</v>
      </c>
      <c r="K14" s="4">
        <v>0</v>
      </c>
    </row>
    <row r="15" spans="1:11" ht="46" customHeight="1">
      <c r="A15" s="1" t="s">
        <v>59</v>
      </c>
      <c r="B15" s="4">
        <v>21375000</v>
      </c>
      <c r="C15" s="4">
        <v>0</v>
      </c>
      <c r="D15" s="4">
        <v>118587</v>
      </c>
      <c r="E15" s="4">
        <v>21375000</v>
      </c>
      <c r="F15" s="4">
        <v>41096</v>
      </c>
      <c r="G15" s="4">
        <v>8512</v>
      </c>
      <c r="H15" s="4">
        <v>2050684</v>
      </c>
      <c r="I15" s="4">
        <v>5000</v>
      </c>
      <c r="J15" s="4">
        <v>245968</v>
      </c>
      <c r="K15" s="4">
        <v>0</v>
      </c>
    </row>
    <row r="16" spans="1:11" ht="46" customHeight="1">
      <c r="A16" s="1" t="s">
        <v>60</v>
      </c>
      <c r="B16" s="4">
        <v>21375000</v>
      </c>
      <c r="C16" s="4">
        <v>0</v>
      </c>
      <c r="D16" s="4">
        <v>122540</v>
      </c>
      <c r="E16" s="4">
        <v>21375000</v>
      </c>
      <c r="F16" s="4">
        <v>42465</v>
      </c>
      <c r="G16" s="4">
        <v>8618</v>
      </c>
      <c r="H16" s="4">
        <v>2008219</v>
      </c>
      <c r="I16" s="4">
        <v>5000</v>
      </c>
      <c r="J16" s="4">
        <v>240968</v>
      </c>
      <c r="K16" s="4">
        <v>0</v>
      </c>
    </row>
  </sheetData>
  <autoFilter ref="A4:K16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5" width="22.7109375" style="1" customWidth="1"/>
  </cols>
  <sheetData>
    <row r="1" spans="1:15" ht="32" customHeight="1">
      <c r="A1" s="2" t="s">
        <v>109</v>
      </c>
      <c r="B1" s="2"/>
      <c r="C1" s="2"/>
      <c r="D1" s="2"/>
      <c r="E1" s="2"/>
      <c r="F1" s="2"/>
      <c r="G1" s="2"/>
    </row>
    <row r="2" spans="1:15" ht="30" customHeight="1">
      <c r="A2" s="1" t="s">
        <v>1</v>
      </c>
      <c r="B2" s="1"/>
      <c r="C2" s="1"/>
      <c r="D2" s="1"/>
      <c r="E2" s="1"/>
      <c r="F2" s="1"/>
      <c r="G2" s="1"/>
    </row>
    <row r="4" spans="1:15" ht="42" customHeight="1">
      <c r="A4" s="3" t="s">
        <v>8</v>
      </c>
      <c r="B4" s="3" t="s">
        <v>110</v>
      </c>
      <c r="C4" s="3" t="s">
        <v>111</v>
      </c>
      <c r="D4" s="3" t="s">
        <v>112</v>
      </c>
      <c r="E4" s="3" t="s">
        <v>113</v>
      </c>
      <c r="F4" s="3" t="s">
        <v>114</v>
      </c>
      <c r="G4" s="3" t="s">
        <v>115</v>
      </c>
      <c r="H4" s="3" t="s">
        <v>116</v>
      </c>
      <c r="I4" s="3" t="s">
        <v>117</v>
      </c>
      <c r="J4" s="3" t="s">
        <v>118</v>
      </c>
      <c r="K4" s="3" t="s">
        <v>119</v>
      </c>
      <c r="L4" s="3" t="s">
        <v>120</v>
      </c>
      <c r="M4" s="3" t="s">
        <v>121</v>
      </c>
      <c r="N4" s="3" t="s">
        <v>122</v>
      </c>
      <c r="O4" s="3" t="s">
        <v>123</v>
      </c>
    </row>
    <row r="5" spans="1:15" ht="46" customHeight="1">
      <c r="A5" s="1" t="s">
        <v>24</v>
      </c>
      <c r="B5" s="4">
        <v>-139925</v>
      </c>
      <c r="C5" s="4">
        <v>-139925</v>
      </c>
      <c r="D5" s="4">
        <v>72222</v>
      </c>
      <c r="E5" s="4">
        <v>-212147</v>
      </c>
      <c r="F5" s="4">
        <v>0</v>
      </c>
      <c r="G5" s="4">
        <v>-34981</v>
      </c>
      <c r="H5" s="4">
        <v>0</v>
      </c>
      <c r="I5" s="4">
        <v>0</v>
      </c>
      <c r="J5" s="4">
        <v>587500</v>
      </c>
      <c r="K5" s="4">
        <v>53037</v>
      </c>
      <c r="L5" s="4">
        <v>18056</v>
      </c>
      <c r="M5" s="4">
        <v>12927778</v>
      </c>
      <c r="N5" s="4">
        <v>14762500</v>
      </c>
      <c r="O5" s="4">
        <v>1762500</v>
      </c>
    </row>
    <row r="6" spans="1:15" ht="46" customHeight="1">
      <c r="A6" s="1" t="s">
        <v>50</v>
      </c>
      <c r="B6" s="4">
        <v>-134103</v>
      </c>
      <c r="C6" s="4">
        <v>-274028</v>
      </c>
      <c r="D6" s="4">
        <v>144444</v>
      </c>
      <c r="E6" s="4">
        <v>-418472</v>
      </c>
      <c r="F6" s="4">
        <v>0</v>
      </c>
      <c r="G6" s="4">
        <v>-33526</v>
      </c>
      <c r="H6" s="4">
        <v>0</v>
      </c>
      <c r="I6" s="4">
        <v>0</v>
      </c>
      <c r="J6" s="4">
        <v>587500</v>
      </c>
      <c r="K6" s="4">
        <v>104618</v>
      </c>
      <c r="L6" s="4">
        <v>36111</v>
      </c>
      <c r="M6" s="4">
        <v>12855556</v>
      </c>
      <c r="N6" s="4">
        <v>14762500</v>
      </c>
      <c r="O6" s="4">
        <v>1762500</v>
      </c>
    </row>
    <row r="7" spans="1:15" ht="46" customHeight="1">
      <c r="A7" s="1" t="s">
        <v>51</v>
      </c>
      <c r="B7" s="4">
        <v>224350</v>
      </c>
      <c r="C7" s="4">
        <v>-49678</v>
      </c>
      <c r="D7" s="4">
        <v>216667</v>
      </c>
      <c r="E7" s="4">
        <v>-266345</v>
      </c>
      <c r="F7" s="4">
        <v>0</v>
      </c>
      <c r="G7" s="4">
        <v>56088</v>
      </c>
      <c r="H7" s="4">
        <v>0</v>
      </c>
      <c r="I7" s="4">
        <v>0</v>
      </c>
      <c r="J7" s="4">
        <v>587500</v>
      </c>
      <c r="K7" s="4">
        <v>66586</v>
      </c>
      <c r="L7" s="4">
        <v>54167</v>
      </c>
      <c r="M7" s="4">
        <v>12783333</v>
      </c>
      <c r="N7" s="4">
        <v>14762500</v>
      </c>
      <c r="O7" s="4">
        <v>1762500</v>
      </c>
    </row>
    <row r="8" spans="1:15" ht="46" customHeight="1">
      <c r="A8" s="1" t="s">
        <v>52</v>
      </c>
      <c r="B8" s="4">
        <v>231627</v>
      </c>
      <c r="C8" s="4">
        <v>181949</v>
      </c>
      <c r="D8" s="4">
        <v>288889</v>
      </c>
      <c r="E8" s="4">
        <v>-106940</v>
      </c>
      <c r="F8" s="4">
        <v>0</v>
      </c>
      <c r="G8" s="4">
        <v>57906</v>
      </c>
      <c r="H8" s="4">
        <v>0</v>
      </c>
      <c r="I8" s="4">
        <v>0</v>
      </c>
      <c r="J8" s="4">
        <v>587500</v>
      </c>
      <c r="K8" s="4">
        <v>26735</v>
      </c>
      <c r="L8" s="4">
        <v>72222</v>
      </c>
      <c r="M8" s="4">
        <v>12711111</v>
      </c>
      <c r="N8" s="4">
        <v>14762500</v>
      </c>
      <c r="O8" s="4">
        <v>1762500</v>
      </c>
    </row>
    <row r="9" spans="1:15" ht="46" customHeight="1">
      <c r="A9" s="1" t="s">
        <v>53</v>
      </c>
      <c r="B9" s="4">
        <v>627492</v>
      </c>
      <c r="C9" s="4">
        <v>809441</v>
      </c>
      <c r="D9" s="4">
        <v>361111</v>
      </c>
      <c r="E9" s="4">
        <v>448330</v>
      </c>
      <c r="F9" s="4">
        <v>112083</v>
      </c>
      <c r="G9" s="4">
        <v>44791</v>
      </c>
      <c r="H9" s="4">
        <v>0</v>
      </c>
      <c r="I9" s="4">
        <v>-112083</v>
      </c>
      <c r="J9" s="4">
        <v>587500</v>
      </c>
      <c r="K9" s="4">
        <v>0</v>
      </c>
      <c r="L9" s="4">
        <v>90278</v>
      </c>
      <c r="M9" s="4">
        <v>12638889</v>
      </c>
      <c r="N9" s="4">
        <v>14762500</v>
      </c>
      <c r="O9" s="4">
        <v>1762500</v>
      </c>
    </row>
    <row r="10" spans="1:15" ht="46" customHeight="1">
      <c r="A10" s="1" t="s">
        <v>54</v>
      </c>
      <c r="B10" s="4">
        <v>613024</v>
      </c>
      <c r="C10" s="4">
        <v>1422465</v>
      </c>
      <c r="D10" s="4">
        <v>433333</v>
      </c>
      <c r="E10" s="4">
        <v>989132</v>
      </c>
      <c r="F10" s="4">
        <v>135200</v>
      </c>
      <c r="G10" s="4">
        <v>18055</v>
      </c>
      <c r="H10" s="4">
        <v>247283</v>
      </c>
      <c r="I10" s="4">
        <v>0</v>
      </c>
      <c r="J10" s="4">
        <v>587500</v>
      </c>
      <c r="K10" s="4">
        <v>0</v>
      </c>
      <c r="L10" s="4">
        <v>108333</v>
      </c>
      <c r="M10" s="4">
        <v>12566667</v>
      </c>
      <c r="N10" s="4">
        <v>14762500</v>
      </c>
      <c r="O10" s="4">
        <v>1762500</v>
      </c>
    </row>
    <row r="11" spans="1:15" ht="46" customHeight="1">
      <c r="A11" s="1" t="s">
        <v>55</v>
      </c>
      <c r="B11" s="4">
        <v>579659</v>
      </c>
      <c r="C11" s="4">
        <v>2002124</v>
      </c>
      <c r="D11" s="4">
        <v>505556</v>
      </c>
      <c r="E11" s="4">
        <v>1496568</v>
      </c>
      <c r="F11" s="4">
        <v>126859</v>
      </c>
      <c r="G11" s="4">
        <v>18056</v>
      </c>
      <c r="H11" s="4">
        <v>0</v>
      </c>
      <c r="I11" s="4">
        <v>-126859</v>
      </c>
      <c r="J11" s="4">
        <v>587500</v>
      </c>
      <c r="K11" s="4">
        <v>0</v>
      </c>
      <c r="L11" s="4">
        <v>126389</v>
      </c>
      <c r="M11" s="4">
        <v>12494444</v>
      </c>
      <c r="N11" s="4">
        <v>14762500</v>
      </c>
      <c r="O11" s="4">
        <v>1762500</v>
      </c>
    </row>
    <row r="12" spans="1:15" ht="46" customHeight="1">
      <c r="A12" s="1" t="s">
        <v>56</v>
      </c>
      <c r="B12" s="4">
        <v>574969</v>
      </c>
      <c r="C12" s="4">
        <v>2577093</v>
      </c>
      <c r="D12" s="4">
        <v>577778</v>
      </c>
      <c r="E12" s="4">
        <v>1999315</v>
      </c>
      <c r="F12" s="4">
        <v>125687</v>
      </c>
      <c r="G12" s="4">
        <v>18056</v>
      </c>
      <c r="H12" s="4">
        <v>0</v>
      </c>
      <c r="I12" s="4">
        <v>-252546</v>
      </c>
      <c r="J12" s="4">
        <v>587500</v>
      </c>
      <c r="K12" s="4">
        <v>0</v>
      </c>
      <c r="L12" s="4">
        <v>144445</v>
      </c>
      <c r="M12" s="4">
        <v>12422222</v>
      </c>
      <c r="N12" s="4">
        <v>14762500</v>
      </c>
      <c r="O12" s="4">
        <v>1762500</v>
      </c>
    </row>
    <row r="13" spans="1:15" ht="46" customHeight="1">
      <c r="A13" s="1" t="s">
        <v>57</v>
      </c>
      <c r="B13" s="4">
        <v>584672</v>
      </c>
      <c r="C13" s="4">
        <v>3161765</v>
      </c>
      <c r="D13" s="4">
        <v>650000</v>
      </c>
      <c r="E13" s="4">
        <v>2511765</v>
      </c>
      <c r="F13" s="4">
        <v>128112</v>
      </c>
      <c r="G13" s="4">
        <v>18055</v>
      </c>
      <c r="H13" s="4">
        <v>380658</v>
      </c>
      <c r="I13" s="4">
        <v>0</v>
      </c>
      <c r="J13" s="4">
        <v>587500</v>
      </c>
      <c r="K13" s="4">
        <v>0</v>
      </c>
      <c r="L13" s="4">
        <v>162500</v>
      </c>
      <c r="M13" s="4">
        <v>12350000</v>
      </c>
      <c r="N13" s="4">
        <v>14762500</v>
      </c>
      <c r="O13" s="4">
        <v>1762500</v>
      </c>
    </row>
    <row r="14" spans="1:15" ht="46" customHeight="1">
      <c r="A14" s="1" t="s">
        <v>58</v>
      </c>
      <c r="B14" s="4">
        <v>587860</v>
      </c>
      <c r="C14" s="4">
        <v>3749625</v>
      </c>
      <c r="D14" s="4">
        <v>722222</v>
      </c>
      <c r="E14" s="4">
        <v>3027403</v>
      </c>
      <c r="F14" s="4">
        <v>128910</v>
      </c>
      <c r="G14" s="4">
        <v>18056</v>
      </c>
      <c r="H14" s="4">
        <v>0</v>
      </c>
      <c r="I14" s="4">
        <v>-128910</v>
      </c>
      <c r="J14" s="4">
        <v>587500</v>
      </c>
      <c r="K14" s="4">
        <v>0</v>
      </c>
      <c r="L14" s="4">
        <v>180556</v>
      </c>
      <c r="M14" s="4">
        <v>12277778</v>
      </c>
      <c r="N14" s="4">
        <v>14762500</v>
      </c>
      <c r="O14" s="4">
        <v>1762500</v>
      </c>
    </row>
    <row r="15" spans="1:15" ht="46" customHeight="1">
      <c r="A15" s="1" t="s">
        <v>59</v>
      </c>
      <c r="B15" s="4">
        <v>194900</v>
      </c>
      <c r="C15" s="4">
        <v>3944525</v>
      </c>
      <c r="D15" s="4">
        <v>794444</v>
      </c>
      <c r="E15" s="4">
        <v>3150081</v>
      </c>
      <c r="F15" s="4">
        <v>30669</v>
      </c>
      <c r="G15" s="4">
        <v>18055</v>
      </c>
      <c r="H15" s="4">
        <v>0</v>
      </c>
      <c r="I15" s="4">
        <v>-159579</v>
      </c>
      <c r="J15" s="4">
        <v>587500</v>
      </c>
      <c r="K15" s="4">
        <v>0</v>
      </c>
      <c r="L15" s="4">
        <v>198611</v>
      </c>
      <c r="M15" s="4">
        <v>12205556</v>
      </c>
      <c r="N15" s="4">
        <v>14762500</v>
      </c>
      <c r="O15" s="4">
        <v>1762500</v>
      </c>
    </row>
    <row r="16" spans="1:15" ht="46" customHeight="1">
      <c r="A16" s="1" t="s">
        <v>60</v>
      </c>
      <c r="B16" s="4">
        <v>177112</v>
      </c>
      <c r="C16" s="4">
        <v>4121637</v>
      </c>
      <c r="D16" s="4">
        <v>866667</v>
      </c>
      <c r="E16" s="4">
        <v>3254970</v>
      </c>
      <c r="F16" s="4">
        <v>26223</v>
      </c>
      <c r="G16" s="4">
        <v>18056</v>
      </c>
      <c r="H16" s="4">
        <v>185802</v>
      </c>
      <c r="I16" s="4">
        <v>0</v>
      </c>
      <c r="J16" s="4">
        <v>587500</v>
      </c>
      <c r="K16" s="4">
        <v>0</v>
      </c>
      <c r="L16" s="4">
        <v>216667</v>
      </c>
      <c r="M16" s="4">
        <v>12133333</v>
      </c>
      <c r="N16" s="4">
        <v>14762500</v>
      </c>
      <c r="O16" s="4">
        <v>1762500</v>
      </c>
    </row>
  </sheetData>
  <autoFilter ref="A4:O16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8" width="22.7109375" style="1" customWidth="1"/>
  </cols>
  <sheetData>
    <row r="1" spans="1:8" ht="32" customHeight="1">
      <c r="A1" s="2" t="s">
        <v>126</v>
      </c>
      <c r="B1" s="2"/>
      <c r="C1" s="2"/>
      <c r="D1" s="2"/>
      <c r="E1" s="2"/>
      <c r="F1" s="2"/>
      <c r="G1" s="2"/>
    </row>
    <row r="2" spans="1:8" ht="30" customHeight="1">
      <c r="A2" s="1" t="s">
        <v>1</v>
      </c>
      <c r="B2" s="1"/>
      <c r="C2" s="1"/>
      <c r="D2" s="1"/>
      <c r="E2" s="1"/>
      <c r="F2" s="1"/>
      <c r="G2" s="1"/>
    </row>
    <row r="4" spans="1:8" ht="42" customHeight="1">
      <c r="A4" s="3" t="s">
        <v>7</v>
      </c>
      <c r="B4" s="3" t="s">
        <v>35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131</v>
      </c>
      <c r="H4" s="3" t="s">
        <v>132</v>
      </c>
    </row>
    <row r="5" spans="1:8" ht="46" customHeight="1">
      <c r="A5" s="1" t="s">
        <v>23</v>
      </c>
      <c r="B5" s="1" t="s">
        <v>133</v>
      </c>
      <c r="C5" s="4">
        <v>2000000</v>
      </c>
      <c r="D5" s="1" t="s">
        <v>134</v>
      </c>
      <c r="E5" s="1" t="s">
        <v>135</v>
      </c>
      <c r="F5" s="1" t="s">
        <v>136</v>
      </c>
      <c r="G5" s="4">
        <v>2000000</v>
      </c>
      <c r="H5" s="4">
        <v>0</v>
      </c>
    </row>
    <row r="6" spans="1:8" ht="46" customHeight="1">
      <c r="A6" s="1" t="s">
        <v>23</v>
      </c>
      <c r="B6" s="1" t="s">
        <v>133</v>
      </c>
      <c r="C6" s="4">
        <v>6000000</v>
      </c>
      <c r="D6" s="1" t="s">
        <v>137</v>
      </c>
      <c r="E6" s="1" t="s">
        <v>138</v>
      </c>
      <c r="F6" s="1" t="s">
        <v>136</v>
      </c>
      <c r="G6" s="4">
        <v>6000000</v>
      </c>
      <c r="H6" s="4">
        <v>0</v>
      </c>
    </row>
    <row r="7" spans="1:8" ht="46" customHeight="1">
      <c r="A7" s="1" t="s">
        <v>23</v>
      </c>
      <c r="B7" s="1" t="s">
        <v>133</v>
      </c>
      <c r="C7" s="4">
        <v>1800000</v>
      </c>
      <c r="D7" s="1" t="s">
        <v>139</v>
      </c>
      <c r="E7" s="1" t="s">
        <v>140</v>
      </c>
      <c r="F7" s="1" t="s">
        <v>136</v>
      </c>
      <c r="G7" s="4">
        <v>1800000</v>
      </c>
      <c r="H7" s="4">
        <v>0</v>
      </c>
    </row>
    <row r="8" spans="1:8" ht="46" customHeight="1">
      <c r="A8" s="1" t="s">
        <v>23</v>
      </c>
      <c r="B8" s="1" t="s">
        <v>133</v>
      </c>
      <c r="C8" s="4">
        <v>700000</v>
      </c>
      <c r="D8" s="1" t="s">
        <v>141</v>
      </c>
      <c r="E8" s="1" t="s">
        <v>142</v>
      </c>
      <c r="F8" s="1" t="s">
        <v>136</v>
      </c>
      <c r="G8" s="4">
        <v>700000</v>
      </c>
      <c r="H8" s="4">
        <v>0</v>
      </c>
    </row>
    <row r="9" spans="1:8" ht="46" customHeight="1">
      <c r="A9" s="1" t="s">
        <v>23</v>
      </c>
      <c r="B9" s="1" t="s">
        <v>133</v>
      </c>
      <c r="C9" s="4">
        <v>42000000</v>
      </c>
      <c r="D9" s="1" t="s">
        <v>143</v>
      </c>
      <c r="E9" s="1" t="s">
        <v>144</v>
      </c>
      <c r="F9" s="1" t="s">
        <v>136</v>
      </c>
      <c r="G9" s="4">
        <v>42000000</v>
      </c>
      <c r="H9" s="4">
        <v>0</v>
      </c>
    </row>
    <row r="10" spans="1:8" ht="46" customHeight="1">
      <c r="A10" s="1" t="s">
        <v>23</v>
      </c>
      <c r="B10" s="1" t="s">
        <v>133</v>
      </c>
      <c r="C10" s="4">
        <v>2500000</v>
      </c>
      <c r="D10" s="1" t="s">
        <v>145</v>
      </c>
      <c r="E10" s="1" t="s">
        <v>146</v>
      </c>
      <c r="F10" s="1" t="s">
        <v>136</v>
      </c>
      <c r="G10" s="4">
        <v>2500000</v>
      </c>
      <c r="H10" s="4">
        <v>0</v>
      </c>
    </row>
    <row r="11" spans="1:8" ht="46" customHeight="1">
      <c r="A11" s="1" t="s">
        <v>23</v>
      </c>
      <c r="B11" s="1" t="s">
        <v>133</v>
      </c>
      <c r="C11" s="4">
        <v>14762500</v>
      </c>
      <c r="D11" s="1" t="s">
        <v>147</v>
      </c>
      <c r="E11" s="1" t="s">
        <v>148</v>
      </c>
      <c r="F11" s="1" t="s">
        <v>136</v>
      </c>
      <c r="G11" s="4">
        <v>14762500</v>
      </c>
      <c r="H11" s="4">
        <v>0</v>
      </c>
    </row>
    <row r="12" spans="1:8" ht="46" customHeight="1">
      <c r="A12" s="1" t="s">
        <v>23</v>
      </c>
      <c r="B12" s="1" t="s">
        <v>133</v>
      </c>
      <c r="C12" s="4">
        <v>300000</v>
      </c>
      <c r="D12" s="1" t="s">
        <v>149</v>
      </c>
      <c r="E12" s="1" t="s">
        <v>150</v>
      </c>
      <c r="F12" s="1" t="s">
        <v>151</v>
      </c>
      <c r="G12" s="4">
        <v>300000</v>
      </c>
      <c r="H12" s="4">
        <v>0</v>
      </c>
    </row>
    <row r="13" spans="1:8" ht="46" customHeight="1">
      <c r="A13" s="1" t="s">
        <v>23</v>
      </c>
      <c r="B13" s="1" t="s">
        <v>133</v>
      </c>
      <c r="C13" s="4">
        <v>587500</v>
      </c>
      <c r="D13" s="1" t="s">
        <v>152</v>
      </c>
      <c r="E13" s="1" t="s">
        <v>153</v>
      </c>
      <c r="F13" s="1" t="s">
        <v>136</v>
      </c>
      <c r="G13" s="4">
        <v>587500</v>
      </c>
      <c r="H13" s="4">
        <v>0</v>
      </c>
    </row>
    <row r="14" spans="1:8" ht="46" customHeight="1">
      <c r="A14" s="1" t="s">
        <v>23</v>
      </c>
      <c r="B14" s="1" t="s">
        <v>133</v>
      </c>
      <c r="C14" s="4">
        <v>-3000000</v>
      </c>
      <c r="D14" s="1" t="s">
        <v>154</v>
      </c>
      <c r="E14" s="1" t="s">
        <v>155</v>
      </c>
      <c r="F14" s="1" t="s">
        <v>151</v>
      </c>
      <c r="G14" s="4">
        <v>0</v>
      </c>
      <c r="H14" s="4">
        <v>3000000</v>
      </c>
    </row>
    <row r="15" spans="1:8" ht="46" customHeight="1">
      <c r="A15" s="1" t="s">
        <v>23</v>
      </c>
      <c r="B15" s="1" t="s">
        <v>133</v>
      </c>
      <c r="C15" s="4">
        <v>-1000000</v>
      </c>
      <c r="D15" s="1" t="s">
        <v>156</v>
      </c>
      <c r="E15" s="1" t="s">
        <v>157</v>
      </c>
      <c r="F15" s="1" t="s">
        <v>151</v>
      </c>
      <c r="G15" s="4">
        <v>0</v>
      </c>
      <c r="H15" s="4">
        <v>1000000</v>
      </c>
    </row>
    <row r="16" spans="1:8" ht="46" customHeight="1">
      <c r="A16" s="1" t="s">
        <v>23</v>
      </c>
      <c r="B16" s="1" t="s">
        <v>133</v>
      </c>
      <c r="C16" s="4">
        <v>-1750000</v>
      </c>
      <c r="D16" s="1" t="s">
        <v>158</v>
      </c>
      <c r="E16" s="1" t="s">
        <v>159</v>
      </c>
      <c r="F16" s="1" t="s">
        <v>151</v>
      </c>
      <c r="G16" s="4">
        <v>0</v>
      </c>
      <c r="H16" s="4">
        <v>1750000</v>
      </c>
    </row>
    <row r="17" spans="1:8" ht="46" customHeight="1">
      <c r="A17" s="1" t="s">
        <v>23</v>
      </c>
      <c r="B17" s="1" t="s">
        <v>133</v>
      </c>
      <c r="C17" s="4">
        <v>-600000</v>
      </c>
      <c r="D17" s="1" t="s">
        <v>160</v>
      </c>
      <c r="E17" s="1" t="s">
        <v>161</v>
      </c>
      <c r="F17" s="1" t="s">
        <v>151</v>
      </c>
      <c r="G17" s="4">
        <v>0</v>
      </c>
      <c r="H17" s="4">
        <v>600000</v>
      </c>
    </row>
    <row r="18" spans="1:8" ht="46" customHeight="1">
      <c r="A18" s="1" t="s">
        <v>23</v>
      </c>
      <c r="B18" s="1" t="s">
        <v>133</v>
      </c>
      <c r="C18" s="4">
        <v>-22500000</v>
      </c>
      <c r="D18" s="1" t="s">
        <v>162</v>
      </c>
      <c r="E18" s="1" t="s">
        <v>163</v>
      </c>
      <c r="F18" s="1" t="s">
        <v>151</v>
      </c>
      <c r="G18" s="4">
        <v>0</v>
      </c>
      <c r="H18" s="4">
        <v>22500000</v>
      </c>
    </row>
    <row r="19" spans="1:8" ht="46" customHeight="1">
      <c r="A19" s="1" t="s">
        <v>23</v>
      </c>
      <c r="B19" s="1" t="s">
        <v>133</v>
      </c>
      <c r="C19" s="4">
        <v>-2500000</v>
      </c>
      <c r="D19" s="1" t="s">
        <v>164</v>
      </c>
      <c r="E19" s="1" t="s">
        <v>165</v>
      </c>
      <c r="F19" s="1" t="s">
        <v>151</v>
      </c>
      <c r="G19" s="4">
        <v>0</v>
      </c>
      <c r="H19" s="4">
        <v>2500000</v>
      </c>
    </row>
    <row r="20" spans="1:8" ht="46" customHeight="1">
      <c r="A20" s="1" t="s">
        <v>23</v>
      </c>
      <c r="B20" s="1" t="s">
        <v>133</v>
      </c>
      <c r="C20" s="4">
        <v>-39300000</v>
      </c>
      <c r="D20" s="1" t="s">
        <v>166</v>
      </c>
      <c r="E20" s="1" t="s">
        <v>167</v>
      </c>
      <c r="F20" s="1" t="s">
        <v>168</v>
      </c>
      <c r="G20" s="4">
        <v>0</v>
      </c>
      <c r="H20" s="4">
        <v>39300000</v>
      </c>
    </row>
  </sheetData>
  <autoFilter ref="A4:H20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55.7109375" customWidth="1"/>
    <col min="2" max="7" width="22.7109375" style="1" customWidth="1"/>
  </cols>
  <sheetData>
    <row r="1" spans="1:4" ht="32" customHeight="1">
      <c r="A1" s="2" t="s">
        <v>172</v>
      </c>
      <c r="B1" s="2"/>
      <c r="C1" s="2"/>
      <c r="D1" s="2"/>
    </row>
    <row r="2" spans="1:4" ht="30" customHeight="1">
      <c r="A2" s="1" t="s">
        <v>1</v>
      </c>
      <c r="B2" s="1"/>
      <c r="C2" s="1"/>
      <c r="D2" s="1"/>
    </row>
    <row r="4" spans="1:4" ht="42" customHeight="1">
      <c r="A4" s="3" t="s">
        <v>173</v>
      </c>
      <c r="B4" s="3" t="s">
        <v>174</v>
      </c>
      <c r="C4" s="3" t="s">
        <v>175</v>
      </c>
      <c r="D4" s="3" t="s">
        <v>176</v>
      </c>
    </row>
    <row r="5" spans="1:4" ht="36" customHeight="1">
      <c r="A5" s="1" t="s">
        <v>177</v>
      </c>
      <c r="B5" s="1">
        <v>1</v>
      </c>
      <c r="C5" s="4">
        <v>0</v>
      </c>
      <c r="D5" s="1" t="str">
        <f>IF(ABS(C5)&lt;=0.02,"PASS","FAIL")</f>
        <v>PASS</v>
      </c>
    </row>
  </sheetData>
  <mergeCells count="2">
    <mergeCell ref="A1:D1"/>
    <mergeCell ref="A2:D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Guide</vt:lpstr>
      <vt:lpstr>01 acquisition_cashflow_bridge</vt:lpstr>
      <vt:lpstr>02 enterprise_tax_allocation_b</vt:lpstr>
      <vt:lpstr>03 acquisition_ppa</vt:lpstr>
      <vt:lpstr>04 aru_2026_assets</vt:lpstr>
      <vt:lpstr>05 aru_2026_debt</vt:lpstr>
      <vt:lpstr>06 aru_2026_tax_rollforward</vt:lpstr>
      <vt:lpstr>07 aru_acquisition_opening_tri</vt:lpstr>
      <vt:lpstr>Checks</vt:lpstr>
      <vt:lpstr>'01 acquisition_cashflow_bridge'!Print_Area</vt:lpstr>
      <vt:lpstr>'02 enterprise_tax_allocation_b'!Print_Area</vt:lpstr>
      <vt:lpstr>'03 acquisition_ppa'!Print_Area</vt:lpstr>
      <vt:lpstr>'04 aru_2026_assets'!Print_Area</vt:lpstr>
      <vt:lpstr>'05 aru_2026_debt'!Print_Area</vt:lpstr>
      <vt:lpstr>'06 aru_2026_tax_rollforward'!Print_Area</vt:lpstr>
      <vt:lpstr>'07 aru_acquisition_opening_tri'!Print_Area</vt:lpstr>
      <vt:lpstr>Checks!Print_Area</vt:lpstr>
      <vt:lpstr>Guide!Print_Area</vt:lpstr>
      <vt:lpstr>'01 acquisition_cashflow_bridge'!Print_Titles</vt:lpstr>
      <vt:lpstr>'02 enterprise_tax_allocation_b'!Print_Titles</vt:lpstr>
      <vt:lpstr>'03 acquisition_ppa'!Print_Titles</vt:lpstr>
      <vt:lpstr>'04 aru_2026_assets'!Print_Titles</vt:lpstr>
      <vt:lpstr>'05 aru_2026_debt'!Print_Titles</vt:lpstr>
      <vt:lpstr>'06 aru_2026_tax_rollforward'!Print_Titles</vt:lpstr>
      <vt:lpstr>'07 aru_acquisition_opening_tri'!Print_Titles</vt:lpstr>
      <vt:lpstr>Checks!Print_Titles</vt:lpstr>
      <vt:lpstr>Guide!Print_Titles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 cash and conditional tax support</dc:title>
  <dc:creator>Sable Harbor synthetic evidence</dc:creator>
  <dc:description>Draft for exact-file review; all selected source rows included.</dc:description>
  <cp:lastModifiedBy>Sable Harbor synthetic evidence</cp:lastModifiedBy>
  <dcterms:created xsi:type="dcterms:W3CDTF">2026-09-12T00:00:00Z</dcterms:created>
  <dcterms:modified xsi:type="dcterms:W3CDTF">2026-09-12T00:00:00Z</dcterms:modified>
</cp:coreProperties>
</file>